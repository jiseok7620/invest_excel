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1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20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21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22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2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2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 defaultThemeVersion="124226"/>
  <bookViews>
    <workbookView xWindow="0" yWindow="0" windowWidth="28800" windowHeight="12390" tabRatio="672" activeTab="1"/>
  </bookViews>
  <sheets>
    <sheet name="유의사항" sheetId="128" r:id="rId1"/>
    <sheet name="Main" sheetId="127" r:id="rId2"/>
    <sheet name="회사코드" sheetId="125" r:id="rId3"/>
    <sheet name="총괄" sheetId="123" r:id="rId4"/>
    <sheet name="재무비율 비교" sheetId="135" r:id="rId5"/>
    <sheet name="D210000" sheetId="2" state="hidden" r:id="rId6"/>
    <sheet name="D210005" sheetId="3" state="hidden" r:id="rId7"/>
    <sheet name="D220000" sheetId="4" state="hidden" r:id="rId8"/>
    <sheet name="D220005" sheetId="5" state="hidden" r:id="rId9"/>
    <sheet name="D310000" sheetId="6" state="hidden" r:id="rId10"/>
    <sheet name="D310005" sheetId="7" state="hidden" r:id="rId11"/>
    <sheet name="D320000" sheetId="8" state="hidden" r:id="rId12"/>
    <sheet name="D320005" sheetId="9" state="hidden" r:id="rId13"/>
    <sheet name="D410000" sheetId="10" state="hidden" r:id="rId14"/>
    <sheet name="D410005" sheetId="11" state="hidden" r:id="rId15"/>
    <sheet name="D420000" sheetId="12" state="hidden" r:id="rId16"/>
    <sheet name="D420005" sheetId="13" state="hidden" r:id="rId17"/>
    <sheet name="D431410" sheetId="14" state="hidden" r:id="rId18"/>
    <sheet name="D431415" sheetId="15" state="hidden" r:id="rId19"/>
    <sheet name="D431420" sheetId="16" state="hidden" r:id="rId20"/>
    <sheet name="D431425" sheetId="17" state="hidden" r:id="rId21"/>
    <sheet name="D432410" sheetId="18" state="hidden" r:id="rId22"/>
    <sheet name="D432415" sheetId="19" state="hidden" r:id="rId23"/>
    <sheet name="D432420" sheetId="20" state="hidden" r:id="rId24"/>
    <sheet name="D432425" sheetId="21" state="hidden" r:id="rId25"/>
    <sheet name="@참고" sheetId="122" r:id="rId26"/>
  </sheets>
  <functionGroups builtInGroupCount="17"/>
  <definedNames>
    <definedName name="_xlnm._FilterDatabase" localSheetId="4" hidden="1">'재무비율 비교'!$A$2:$F$2</definedName>
    <definedName name="_xlnm._FilterDatabase" localSheetId="3" hidden="1">총괄!$A$1:$I$21</definedName>
  </definedNames>
  <calcPr calcId="145621"/>
</workbook>
</file>

<file path=xl/calcChain.xml><?xml version="1.0" encoding="utf-8"?>
<calcChain xmlns="http://schemas.openxmlformats.org/spreadsheetml/2006/main">
  <c r="J3" i="123" l="1"/>
  <c r="J4" i="123"/>
  <c r="J5" i="123"/>
  <c r="J6" i="123"/>
  <c r="J7" i="123"/>
  <c r="J8" i="123"/>
  <c r="J9" i="123"/>
  <c r="J10" i="123"/>
  <c r="J11" i="123"/>
  <c r="J12" i="123"/>
  <c r="J13" i="123"/>
  <c r="J14" i="123"/>
  <c r="J15" i="123"/>
  <c r="J16" i="123"/>
  <c r="J17" i="123"/>
  <c r="J18" i="123"/>
  <c r="J19" i="123"/>
  <c r="J20" i="123"/>
  <c r="J21" i="123"/>
  <c r="J2" i="123"/>
  <c r="A3" i="21" l="1"/>
  <c r="A3" i="20"/>
  <c r="A3" i="19"/>
  <c r="A3" i="18"/>
  <c r="A3" i="17"/>
  <c r="A3" i="16"/>
  <c r="A3" i="15"/>
  <c r="A3" i="14"/>
  <c r="A3" i="13"/>
  <c r="A3" i="12"/>
  <c r="A3" i="11"/>
  <c r="A3" i="10"/>
  <c r="A3" i="9"/>
  <c r="A3" i="8"/>
  <c r="A3" i="7"/>
  <c r="A3" i="6"/>
  <c r="A3" i="5"/>
  <c r="A3" i="4"/>
  <c r="A3" i="3"/>
  <c r="A3" i="2"/>
  <c r="B3" i="21"/>
  <c r="B3" i="20"/>
  <c r="B3" i="19"/>
  <c r="B3" i="18"/>
  <c r="B3" i="17"/>
  <c r="B3" i="16"/>
  <c r="B3" i="15"/>
  <c r="B3" i="14"/>
  <c r="B3" i="13"/>
  <c r="B3" i="12"/>
  <c r="B3" i="11"/>
  <c r="B3" i="10"/>
  <c r="B3" i="9"/>
  <c r="B3" i="8"/>
  <c r="B3" i="7" l="1"/>
  <c r="B3" i="6"/>
  <c r="B3" i="5"/>
  <c r="B3" i="4"/>
  <c r="B3" i="3"/>
  <c r="B3" i="2"/>
  <c r="H20" i="123"/>
  <c r="H13" i="123"/>
  <c r="H6" i="123"/>
  <c r="H5" i="123"/>
  <c r="H14" i="123"/>
  <c r="H21" i="123"/>
  <c r="H18" i="123"/>
  <c r="H15" i="123"/>
  <c r="H10" i="123"/>
  <c r="H7" i="123"/>
  <c r="H17" i="123"/>
  <c r="H3" i="123"/>
  <c r="H9" i="123"/>
  <c r="H16" i="123"/>
  <c r="H4" i="123"/>
  <c r="H19" i="123"/>
  <c r="H2" i="123"/>
  <c r="H11" i="123"/>
  <c r="H8" i="123"/>
  <c r="H12" i="123"/>
  <c r="G2" i="123" l="1"/>
  <c r="I18" i="123"/>
  <c r="I8" i="123"/>
  <c r="I12" i="123"/>
  <c r="I20" i="123"/>
  <c r="I13" i="123"/>
  <c r="I21" i="123"/>
  <c r="I9" i="123"/>
  <c r="I5" i="123"/>
  <c r="I4" i="123"/>
  <c r="I19" i="123"/>
  <c r="I17" i="123"/>
  <c r="I16" i="123"/>
  <c r="I6" i="123"/>
  <c r="I11" i="123"/>
  <c r="I10" i="123"/>
  <c r="I7" i="123"/>
  <c r="I15" i="123"/>
  <c r="I3" i="123"/>
  <c r="I14" i="123"/>
  <c r="I2" i="123"/>
  <c r="A4" i="21" l="1"/>
  <c r="A4" i="20"/>
  <c r="A4" i="19"/>
  <c r="A4" i="18"/>
  <c r="A4" i="17"/>
  <c r="A4" i="16"/>
  <c r="A4" i="15"/>
  <c r="A4" i="14"/>
  <c r="A4" i="13"/>
  <c r="A4" i="12"/>
  <c r="A4" i="11"/>
  <c r="A4" i="10"/>
  <c r="A4" i="9"/>
  <c r="A4" i="8"/>
  <c r="A4" i="7"/>
  <c r="A4" i="6"/>
  <c r="A4" i="5"/>
  <c r="A4" i="4"/>
  <c r="A4" i="3"/>
  <c r="B4" i="21"/>
  <c r="G16" i="123"/>
  <c r="G19" i="123"/>
  <c r="G21" i="123"/>
  <c r="G15" i="123"/>
  <c r="G13" i="123"/>
  <c r="G11" i="123"/>
  <c r="B4" i="20"/>
  <c r="B4" i="18"/>
  <c r="G20" i="123"/>
  <c r="G18" i="123"/>
  <c r="G17" i="123"/>
  <c r="G14" i="123"/>
  <c r="G12" i="123"/>
  <c r="G10" i="123"/>
  <c r="G9" i="123"/>
  <c r="G7" i="123"/>
  <c r="G8" i="123"/>
  <c r="G6" i="123"/>
  <c r="G5" i="123"/>
  <c r="G3" i="123"/>
  <c r="G4" i="123"/>
  <c r="I4" i="18" a="1"/>
  <c r="K4" i="18" a="1"/>
  <c r="J4" i="18" a="1"/>
  <c r="H4" i="18" a="1"/>
  <c r="K4" i="18" l="1"/>
  <c r="J4" i="18"/>
  <c r="I4" i="18"/>
  <c r="H4" i="18"/>
  <c r="B4" i="13"/>
  <c r="B4" i="12"/>
  <c r="B4" i="19"/>
  <c r="B4" i="4"/>
  <c r="B4" i="5"/>
  <c r="B4" i="16"/>
  <c r="B4" i="17"/>
  <c r="B4" i="8"/>
  <c r="B4" i="9"/>
  <c r="B4" i="15"/>
  <c r="B4" i="14"/>
  <c r="B4" i="11"/>
  <c r="B4" i="10"/>
  <c r="B4" i="7"/>
  <c r="B4" i="6"/>
  <c r="B4" i="3"/>
  <c r="A4" i="2"/>
  <c r="K5" i="14" a="1"/>
  <c r="J12" i="18" a="1"/>
  <c r="H5" i="7" a="1"/>
  <c r="H9" i="13" a="1"/>
  <c r="J4" i="12" a="1"/>
  <c r="K5" i="15" a="1"/>
  <c r="G18" i="7" a="1"/>
  <c r="J8" i="15" a="1"/>
  <c r="H16" i="21" a="1"/>
  <c r="K13" i="20" a="1"/>
  <c r="K11" i="9" a="1"/>
  <c r="G17" i="7" a="1"/>
  <c r="H5" i="14" a="1"/>
  <c r="I26" i="20" a="1"/>
  <c r="I16" i="6" a="1"/>
  <c r="G8" i="12" a="1"/>
  <c r="G5" i="21" a="1"/>
  <c r="H16" i="9" a="1"/>
  <c r="G4" i="20" a="1"/>
  <c r="K16" i="20" a="1"/>
  <c r="G5" i="13" a="1"/>
  <c r="H10" i="20" a="1"/>
  <c r="H5" i="5" a="1"/>
  <c r="J10" i="18" a="1"/>
  <c r="K15" i="21" a="1"/>
  <c r="I12" i="12" a="1"/>
  <c r="H4" i="20" a="1"/>
  <c r="H6" i="3" a="1"/>
  <c r="I13" i="18" a="1"/>
  <c r="I23" i="20" a="1"/>
  <c r="G19" i="15" a="1"/>
  <c r="K9" i="18" a="1"/>
  <c r="H19" i="21" a="1"/>
  <c r="I4" i="11" a="1"/>
  <c r="I12" i="20" a="1"/>
  <c r="G18" i="21" a="1"/>
  <c r="J5" i="8" a="1"/>
  <c r="K19" i="16" a="1"/>
  <c r="J7" i="21" a="1"/>
  <c r="G11" i="15" a="1"/>
  <c r="I4" i="20" a="1"/>
  <c r="H12" i="5" a="1"/>
  <c r="I12" i="18" a="1"/>
  <c r="I10" i="7" a="1"/>
  <c r="K4" i="8" a="1"/>
  <c r="H27" i="20" a="1"/>
  <c r="I4" i="6" a="1"/>
  <c r="H5" i="18" a="1"/>
  <c r="G10" i="7" a="1"/>
  <c r="I28" i="20" a="1"/>
  <c r="I5" i="12" a="1"/>
  <c r="H16" i="20" a="1"/>
  <c r="J20" i="6" a="1"/>
  <c r="G12" i="21" a="1"/>
  <c r="I13" i="19" a="1"/>
  <c r="G9" i="13" a="1"/>
  <c r="K9" i="21" a="1"/>
  <c r="K22" i="20" a="1"/>
  <c r="G10" i="20" a="1"/>
  <c r="I31" i="16" a="1"/>
  <c r="K27" i="18" a="1"/>
  <c r="K16" i="21" a="1"/>
  <c r="G18" i="18" a="1"/>
  <c r="H8" i="21" a="1"/>
  <c r="G5" i="6" a="1"/>
  <c r="H6" i="4" a="1"/>
  <c r="H28" i="20" a="1"/>
  <c r="G21" i="21" a="1"/>
  <c r="H14" i="9" a="1"/>
  <c r="G20" i="20" a="1"/>
  <c r="K5" i="18" a="1"/>
  <c r="G12" i="12" a="1"/>
  <c r="J11" i="6" a="1"/>
  <c r="J14" i="6" a="1"/>
  <c r="I11" i="18" a="1"/>
  <c r="G7" i="21" a="1"/>
  <c r="J13" i="20" a="1"/>
  <c r="G24" i="20" a="1"/>
  <c r="J14" i="21" a="1"/>
  <c r="I9" i="13" a="1"/>
  <c r="J5" i="18" a="1"/>
  <c r="G6" i="3" a="1"/>
  <c r="H11" i="18" a="1"/>
  <c r="K15" i="20" a="1"/>
  <c r="H20" i="16" a="1"/>
  <c r="J4" i="20" a="1"/>
  <c r="H5" i="4" a="1"/>
  <c r="G8" i="18" a="1"/>
  <c r="K11" i="20" a="1"/>
  <c r="K16" i="15" a="1"/>
  <c r="I25" i="18" a="1"/>
  <c r="K8" i="7" a="1"/>
  <c r="K5" i="11" a="1"/>
  <c r="G23" i="20" a="1"/>
  <c r="K4" i="6" a="1"/>
  <c r="I8" i="18" a="1"/>
  <c r="J27" i="18" a="1"/>
  <c r="I12" i="21" a="1"/>
  <c r="H12" i="12" a="1"/>
  <c r="I22" i="20" a="1"/>
  <c r="I15" i="20" a="1"/>
  <c r="H7" i="18" a="1"/>
  <c r="K12" i="20" a="1"/>
  <c r="J5" i="15" a="1"/>
  <c r="I13" i="21" a="1"/>
  <c r="I10" i="19" a="1"/>
  <c r="H18" i="18" a="1"/>
  <c r="J28" i="20" a="1"/>
  <c r="G24" i="15" a="1"/>
  <c r="I17" i="21" a="1"/>
  <c r="H22" i="18" a="1"/>
  <c r="G5" i="4" a="1"/>
  <c r="H14" i="18" a="1"/>
  <c r="H23" i="21" a="1"/>
  <c r="I17" i="20" a="1"/>
  <c r="K5" i="7" a="1"/>
  <c r="H14" i="21" a="1"/>
  <c r="J32" i="16" a="1"/>
  <c r="G14" i="18" a="1"/>
  <c r="H4" i="11" a="1"/>
  <c r="G16" i="9" a="1"/>
  <c r="I5" i="9" a="1"/>
  <c r="G13" i="21" a="1"/>
  <c r="J11" i="9" a="1"/>
  <c r="G21" i="20" a="1"/>
  <c r="G23" i="21" a="1"/>
  <c r="K18" i="18" a="1"/>
  <c r="I18" i="20" a="1"/>
  <c r="I14" i="19" a="1"/>
  <c r="J10" i="21" a="1"/>
  <c r="G30" i="14" a="1"/>
  <c r="J8" i="12" a="1"/>
  <c r="K6" i="20" a="1"/>
  <c r="I6" i="18" a="1"/>
  <c r="K18" i="20" a="1"/>
  <c r="H5" i="15" a="1"/>
  <c r="K21" i="19" a="1"/>
  <c r="I17" i="7" a="1"/>
  <c r="K5" i="13" a="1"/>
  <c r="H13" i="20" a="1"/>
  <c r="G12" i="6" a="1"/>
  <c r="I11" i="16" a="1"/>
  <c r="J29" i="20" a="1"/>
  <c r="J16" i="14" a="1"/>
  <c r="K15" i="18" a="1"/>
  <c r="K14" i="9" a="1"/>
  <c r="I10" i="18" a="1"/>
  <c r="J23" i="20" a="1"/>
  <c r="I16" i="14" a="1"/>
  <c r="K11" i="18" a="1"/>
  <c r="I14" i="9" a="1"/>
  <c r="H22" i="15" a="1"/>
  <c r="K14" i="21" a="1"/>
  <c r="K6" i="21" a="1"/>
  <c r="G23" i="18" a="1"/>
  <c r="J6" i="20" a="1"/>
  <c r="G11" i="9" a="1"/>
  <c r="J5" i="7" a="1"/>
  <c r="H18" i="20" a="1"/>
  <c r="H14" i="3" a="1"/>
  <c r="H13" i="18" a="1"/>
  <c r="G4" i="9" a="1"/>
  <c r="G22" i="15" a="1"/>
  <c r="K12" i="18" a="1"/>
  <c r="G14" i="9" a="1"/>
  <c r="H12" i="20" a="1"/>
  <c r="J20" i="20" a="1"/>
  <c r="K4" i="14" a="1"/>
  <c r="J7" i="18" a="1"/>
  <c r="H4" i="8" a="1"/>
  <c r="H26" i="20" a="1"/>
  <c r="G18" i="15" a="1"/>
  <c r="J18" i="20" a="1"/>
  <c r="G4" i="15" a="1"/>
  <c r="J26" i="18" a="1"/>
  <c r="G21" i="18" a="1"/>
  <c r="G14" i="21" a="1"/>
  <c r="J14" i="9" a="1"/>
  <c r="G19" i="7" a="1"/>
  <c r="K21" i="20" a="1"/>
  <c r="G20" i="7" a="1"/>
  <c r="G11" i="20" a="1"/>
  <c r="J16" i="21" a="1"/>
  <c r="G24" i="18" a="1"/>
  <c r="J5" i="19" a="1"/>
  <c r="K10" i="18" a="1"/>
  <c r="K12" i="12" a="1"/>
  <c r="G4" i="13" a="1"/>
  <c r="H21" i="20" a="1"/>
  <c r="I19" i="6" a="1"/>
  <c r="G20" i="21" a="1"/>
  <c r="J16" i="16" a="1"/>
  <c r="K22" i="18" a="1"/>
  <c r="K6" i="18" a="1"/>
  <c r="I5" i="8" a="1"/>
  <c r="I5" i="13" a="1"/>
  <c r="K24" i="18" a="1"/>
  <c r="H11" i="6" a="1"/>
  <c r="H16" i="18" a="1"/>
  <c r="G22" i="21" a="1"/>
  <c r="K28" i="14" a="1"/>
  <c r="J18" i="18" a="1"/>
  <c r="H11" i="7" a="1"/>
  <c r="K5" i="16" a="1"/>
  <c r="G4" i="6" a="1"/>
  <c r="I30" i="14" a="1"/>
  <c r="J25" i="18" a="1"/>
  <c r="G5" i="7" a="1"/>
  <c r="I20" i="16" a="1"/>
  <c r="K19" i="21" a="1"/>
  <c r="K5" i="8" a="1"/>
  <c r="I17" i="18" a="1"/>
  <c r="I13" i="20" a="1"/>
  <c r="G28" i="14" a="1"/>
  <c r="J23" i="18" a="1"/>
  <c r="K11" i="21" a="1"/>
  <c r="I14" i="21" a="1"/>
  <c r="G15" i="18" a="1"/>
  <c r="J17" i="20" a="1"/>
  <c r="G12" i="15" a="1"/>
  <c r="G26" i="20" a="1"/>
  <c r="K4" i="7" a="1"/>
  <c r="J4" i="16" a="1"/>
  <c r="J4" i="21" a="1"/>
  <c r="H9" i="18" a="1"/>
  <c r="J11" i="21" a="1"/>
  <c r="H6" i="7" a="1"/>
  <c r="H16" i="16" a="1"/>
  <c r="I18" i="21" a="1"/>
  <c r="G25" i="18" a="1"/>
  <c r="J15" i="7" a="1"/>
  <c r="G5" i="18" a="1"/>
  <c r="I7" i="18" a="1"/>
  <c r="K18" i="21" a="1"/>
  <c r="I10" i="21" a="1"/>
  <c r="K4" i="13" a="1"/>
  <c r="I9" i="20" a="1"/>
  <c r="H19" i="14" a="1"/>
  <c r="H5" i="13" a="1"/>
  <c r="K29" i="20" a="1"/>
  <c r="I16" i="18" a="1"/>
  <c r="G5" i="3" a="1"/>
  <c r="H21" i="18" a="1"/>
  <c r="G4" i="21" a="1"/>
  <c r="J4" i="19" a="1"/>
  <c r="K13" i="18" a="1"/>
  <c r="G32" i="16" a="1"/>
  <c r="K18" i="16" a="1"/>
  <c r="I8" i="21" a="1"/>
  <c r="G11" i="6" a="1"/>
  <c r="J9" i="18" a="1"/>
  <c r="K17" i="20" a="1"/>
  <c r="G6" i="15" a="1"/>
  <c r="H4" i="19" a="1"/>
  <c r="H15" i="21" a="1"/>
  <c r="I4" i="16" a="1"/>
  <c r="H9" i="21" a="1"/>
  <c r="H5" i="12" a="1"/>
  <c r="J27" i="20" a="1"/>
  <c r="H18" i="14" a="1"/>
  <c r="G18" i="16" a="1"/>
  <c r="G16" i="21" a="1"/>
  <c r="H5" i="11" a="1"/>
  <c r="J8" i="20" a="1"/>
  <c r="I5" i="15" a="1"/>
  <c r="I20" i="21" a="1"/>
  <c r="I27" i="18" a="1"/>
  <c r="J4" i="6" a="1"/>
  <c r="H11" i="16" a="1"/>
  <c r="I4" i="15" a="1"/>
  <c r="J21" i="20" a="1"/>
  <c r="I14" i="14" a="1"/>
  <c r="J15" i="18" a="1"/>
  <c r="G5" i="8" a="1"/>
  <c r="I11" i="21" a="1"/>
  <c r="H22" i="21" a="1"/>
  <c r="I5" i="11" a="1"/>
  <c r="H20" i="20" a="1"/>
  <c r="K11" i="14" a="1"/>
  <c r="G9" i="18" a="1"/>
  <c r="G10" i="21" a="1"/>
  <c r="H5" i="10" a="1"/>
  <c r="H17" i="20" a="1"/>
  <c r="J4" i="14" a="1"/>
  <c r="H6" i="21" a="1"/>
  <c r="H31" i="16" a="1"/>
  <c r="I22" i="21" a="1"/>
  <c r="I5" i="6" a="1"/>
  <c r="G14" i="3" a="1"/>
  <c r="I4" i="10" a="1"/>
  <c r="H11" i="21" a="1"/>
  <c r="K22" i="16" a="1"/>
  <c r="H25" i="18" a="1"/>
  <c r="G13" i="18" a="1"/>
  <c r="I14" i="20" a="1"/>
  <c r="H6" i="14" a="1"/>
  <c r="K27" i="20" a="1"/>
  <c r="J23" i="14" a="1"/>
  <c r="I5" i="19" a="1"/>
  <c r="G12" i="18" a="1"/>
  <c r="I19" i="18" a="1"/>
  <c r="H20" i="21" a="1"/>
  <c r="H13" i="4" a="1"/>
  <c r="G8" i="20" a="1"/>
  <c r="J10" i="20" a="1"/>
  <c r="G5" i="15" a="1"/>
  <c r="G5" i="19" a="1"/>
  <c r="H4" i="13" a="1"/>
  <c r="J7" i="12" a="1"/>
  <c r="K14" i="14" a="1"/>
  <c r="I6" i="12" a="1"/>
  <c r="H24" i="20" a="1"/>
  <c r="K8" i="20" a="1"/>
  <c r="H20" i="18" a="1"/>
  <c r="K17" i="18" a="1"/>
  <c r="J10" i="7" a="1"/>
  <c r="J5" i="12" a="1"/>
  <c r="H19" i="20" a="1"/>
  <c r="J4" i="10" a="1"/>
  <c r="G18" i="20" a="1"/>
  <c r="H5" i="3" a="1"/>
  <c r="J22" i="18" a="1"/>
  <c r="G7" i="18" a="1"/>
  <c r="J16" i="9" a="1"/>
  <c r="G14" i="20" a="1"/>
  <c r="K21" i="21" a="1"/>
  <c r="I21" i="18" a="1"/>
  <c r="I7" i="20" a="1"/>
  <c r="H23" i="20" a="1"/>
  <c r="J22" i="15" a="1"/>
  <c r="G17" i="21" a="1"/>
  <c r="G5" i="10" a="1"/>
  <c r="J24" i="20" a="1"/>
  <c r="J6" i="18" a="1"/>
  <c r="G12" i="7" a="1"/>
  <c r="H29" i="16" a="1"/>
  <c r="J15" i="21" a="1"/>
  <c r="J4" i="11" a="1"/>
  <c r="G15" i="20" a="1"/>
  <c r="K13" i="21" a="1"/>
  <c r="H8" i="18" a="1"/>
  <c r="J6" i="21" a="1"/>
  <c r="G20" i="18" a="1"/>
  <c r="G19" i="20" a="1"/>
  <c r="K17" i="21" a="1"/>
  <c r="G27" i="18" a="1"/>
  <c r="I23" i="21" a="1"/>
  <c r="G7" i="20" a="1"/>
  <c r="H9" i="20" a="1"/>
  <c r="J13" i="18" a="1"/>
  <c r="I16" i="20" a="1"/>
  <c r="I4" i="14" a="1"/>
  <c r="G4" i="7" a="1"/>
  <c r="K16" i="9" a="1"/>
  <c r="G5" i="16" a="1"/>
  <c r="K20" i="18" a="1"/>
  <c r="K10" i="20" a="1"/>
  <c r="H4" i="15" a="1"/>
  <c r="G15" i="21" a="1"/>
  <c r="G22" i="20" a="1"/>
  <c r="J16" i="18" a="1"/>
  <c r="H11" i="14" a="1"/>
  <c r="J19" i="18" a="1"/>
  <c r="J11" i="7" a="1"/>
  <c r="J10" i="12" a="1"/>
  <c r="G7" i="3" a="1"/>
  <c r="I10" i="16" a="1"/>
  <c r="G6" i="20" a="1"/>
  <c r="G6" i="4" a="1"/>
  <c r="H6" i="18" a="1"/>
  <c r="K23" i="18" a="1"/>
  <c r="K30" i="14" a="1"/>
  <c r="J27" i="16" a="1"/>
  <c r="H5" i="21" a="1"/>
  <c r="G13" i="5" a="1"/>
  <c r="K5" i="21" a="1"/>
  <c r="J21" i="21" a="1"/>
  <c r="G4" i="18" a="1"/>
  <c r="J22" i="20" a="1"/>
  <c r="H5" i="16" a="1"/>
  <c r="J5" i="16" a="1"/>
  <c r="J17" i="21" a="1"/>
  <c r="J4" i="13" a="1"/>
  <c r="J14" i="20" a="1"/>
  <c r="K23" i="15" a="1"/>
  <c r="I9" i="18" a="1"/>
  <c r="H13" i="5" a="1"/>
  <c r="I4" i="9" a="1"/>
  <c r="I4" i="19" a="1"/>
  <c r="K10" i="21" a="1"/>
  <c r="I6" i="9" a="1"/>
  <c r="I5" i="16" a="1"/>
  <c r="G19" i="21" a="1"/>
  <c r="H4" i="10" a="1"/>
  <c r="I10" i="20" a="1"/>
  <c r="H6" i="20" a="1"/>
  <c r="G11" i="18" a="1"/>
  <c r="J9" i="20" a="1"/>
  <c r="K12" i="14" a="1"/>
  <c r="I11" i="20" a="1"/>
  <c r="K12" i="21" a="1"/>
  <c r="J9" i="13" a="1"/>
  <c r="J21" i="14" a="1"/>
  <c r="K21" i="18" a="1"/>
  <c r="J19" i="16" a="1"/>
  <c r="J6" i="7" a="1"/>
  <c r="I5" i="7" a="1"/>
  <c r="J12" i="21" a="1"/>
  <c r="K25" i="18" a="1"/>
  <c r="I4" i="8" a="1"/>
  <c r="K5" i="19" a="1"/>
  <c r="K9" i="13" a="1"/>
  <c r="K4" i="10" a="1"/>
  <c r="H23" i="6" a="1"/>
  <c r="H19" i="16" a="1"/>
  <c r="H13" i="21" a="1"/>
  <c r="G9" i="5" a="1"/>
  <c r="K19" i="20" a="1"/>
  <c r="I26" i="16" a="1"/>
  <c r="G17" i="18" a="1"/>
  <c r="J26" i="20" a="1"/>
  <c r="J30" i="14" a="1"/>
  <c r="K4" i="16" a="1"/>
  <c r="H12" i="15" a="1"/>
  <c r="K4" i="11" a="1"/>
  <c r="G5" i="20" a="1"/>
  <c r="K23" i="20" a="1"/>
  <c r="H17" i="18" a="1"/>
  <c r="I20" i="20" a="1"/>
  <c r="G14" i="14" a="1"/>
  <c r="J20" i="18" a="1"/>
  <c r="G5" i="9" a="1"/>
  <c r="H5" i="8" a="1"/>
  <c r="H5" i="20" a="1"/>
  <c r="G8" i="6" a="1"/>
  <c r="I5" i="18" a="1"/>
  <c r="J16" i="20" a="1"/>
  <c r="K7" i="21" a="1"/>
  <c r="G10" i="15" a="1"/>
  <c r="I7" i="21" a="1"/>
  <c r="K5" i="12" a="1"/>
  <c r="I19" i="20" a="1"/>
  <c r="I8" i="20" a="1"/>
  <c r="J5" i="10" a="1"/>
  <c r="G27" i="20" a="1"/>
  <c r="K8" i="21" a="1"/>
  <c r="H10" i="18" a="1"/>
  <c r="K5" i="6" a="1"/>
  <c r="G19" i="14" a="1"/>
  <c r="J11" i="18" a="1"/>
  <c r="J4" i="7" a="1"/>
  <c r="H12" i="18" a="1"/>
  <c r="I5" i="20" a="1"/>
  <c r="H5" i="6" a="1"/>
  <c r="I26" i="18" a="1"/>
  <c r="G9" i="7" a="1"/>
  <c r="G11" i="7" a="1"/>
  <c r="H4" i="14" a="1"/>
  <c r="I25" i="20" a="1"/>
  <c r="J11" i="14" a="1"/>
  <c r="G4" i="14" a="1"/>
  <c r="G27" i="16" a="1"/>
  <c r="H15" i="20" a="1"/>
  <c r="G28" i="20" a="1"/>
  <c r="G9" i="21" a="1"/>
  <c r="J22" i="21" a="1"/>
  <c r="K4" i="9" a="1"/>
  <c r="H5" i="9" a="1"/>
  <c r="J24" i="16" a="1"/>
  <c r="I6" i="21" a="1"/>
  <c r="I4" i="13" a="1"/>
  <c r="H10" i="6" a="1"/>
  <c r="G5" i="11" a="1"/>
  <c r="I21" i="21" a="1"/>
  <c r="I5" i="10" a="1"/>
  <c r="G13" i="20" a="1"/>
  <c r="K5" i="20" a="1"/>
  <c r="K8" i="18" a="1"/>
  <c r="G4" i="11" a="1"/>
  <c r="H4" i="21" a="1"/>
  <c r="J24" i="18" a="1"/>
  <c r="H17" i="7" a="1"/>
  <c r="H4" i="12" a="1"/>
  <c r="K22" i="21" a="1"/>
  <c r="G22" i="18" a="1"/>
  <c r="K16" i="18" a="1"/>
  <c r="H27" i="14" a="1"/>
  <c r="I24" i="18" a="1"/>
  <c r="I11" i="6" a="1"/>
  <c r="H30" i="16" a="1"/>
  <c r="J5" i="20" a="1"/>
  <c r="H18" i="21" a="1"/>
  <c r="H15" i="18" a="1"/>
  <c r="K7" i="20" a="1"/>
  <c r="G4" i="16" a="1"/>
  <c r="J14" i="18" a="1"/>
  <c r="I22" i="18" a="1"/>
  <c r="G16" i="18" a="1"/>
  <c r="H22" i="20" a="1"/>
  <c r="H6" i="5" a="1"/>
  <c r="I20" i="18" a="1"/>
  <c r="H19" i="18" a="1"/>
  <c r="J13" i="21" a="1"/>
  <c r="J5" i="13" a="1"/>
  <c r="J25" i="20" a="1"/>
  <c r="G21" i="15" a="1"/>
  <c r="J15" i="20" a="1"/>
  <c r="J5" i="6" a="1"/>
  <c r="G28" i="16" a="1"/>
  <c r="I5" i="21" a="1"/>
  <c r="G20" i="15" a="1"/>
  <c r="I18" i="18" a="1"/>
  <c r="K14" i="20" a="1"/>
  <c r="J14" i="15" a="1"/>
  <c r="I9" i="21" a="1"/>
  <c r="J5" i="9" a="1"/>
  <c r="J19" i="6" a="1"/>
  <c r="I23" i="18" a="1"/>
  <c r="H4" i="7" a="1"/>
  <c r="H7" i="21" a="1"/>
  <c r="I8" i="9" a="1"/>
  <c r="H12" i="3" a="1"/>
  <c r="K5" i="9" a="1"/>
  <c r="K10" i="16" a="1"/>
  <c r="J8" i="21" a="1"/>
  <c r="G9" i="20" a="1"/>
  <c r="I16" i="21" a="1"/>
  <c r="J5" i="11" a="1"/>
  <c r="H25" i="20" a="1"/>
  <c r="G22" i="6" a="1"/>
  <c r="K20" i="20" a="1"/>
  <c r="K4" i="20" a="1"/>
  <c r="H11" i="20" a="1"/>
  <c r="K20" i="21" a="1"/>
  <c r="G6" i="18" a="1"/>
  <c r="G4" i="19" a="1"/>
  <c r="J8" i="16" a="1"/>
  <c r="G5" i="12" a="1"/>
  <c r="H12" i="21" a="1"/>
  <c r="G11" i="16" a="1"/>
  <c r="H17" i="21" a="1"/>
  <c r="K24" i="20" a="1"/>
  <c r="J19" i="21" a="1"/>
  <c r="I21" i="20" a="1"/>
  <c r="I5" i="14" a="1"/>
  <c r="I29" i="16" a="1"/>
  <c r="K6" i="13" a="1"/>
  <c r="H6" i="15" a="1"/>
  <c r="G11" i="21" a="1"/>
  <c r="G4" i="10" a="1"/>
  <c r="J21" i="18" a="1"/>
  <c r="H14" i="20" a="1"/>
  <c r="G8" i="15" a="1"/>
  <c r="K7" i="18" a="1"/>
  <c r="I16" i="9" a="1"/>
  <c r="H4" i="16" a="1"/>
  <c r="K22" i="15" a="1"/>
  <c r="G16" i="20" a="1"/>
  <c r="H23" i="18" a="1"/>
  <c r="K26" i="20" a="1"/>
  <c r="J4" i="15" a="1"/>
  <c r="H19" i="15" a="1"/>
  <c r="I6" i="20" a="1"/>
  <c r="H4" i="6" a="1"/>
  <c r="J8" i="18" a="1"/>
  <c r="G4" i="8" a="1"/>
  <c r="J17" i="18" a="1"/>
  <c r="G6" i="21" a="1"/>
  <c r="J4" i="9" a="1"/>
  <c r="H29" i="20" a="1"/>
  <c r="K18" i="7" a="1"/>
  <c r="K4" i="15" a="1"/>
  <c r="K19" i="18" a="1"/>
  <c r="H4" i="9" a="1"/>
  <c r="H8" i="20" a="1"/>
  <c r="K6" i="6" a="1"/>
  <c r="K25" i="20" a="1"/>
  <c r="J11" i="15" a="1"/>
  <c r="H10" i="21" a="1"/>
  <c r="G29" i="20" a="1"/>
  <c r="G19" i="18" a="1"/>
  <c r="G4" i="12" a="1"/>
  <c r="J4" i="8" a="1"/>
  <c r="G12" i="20" a="1"/>
  <c r="H24" i="18" a="1"/>
  <c r="G26" i="18" a="1"/>
  <c r="H27" i="18" a="1"/>
  <c r="J12" i="20" a="1"/>
  <c r="J14" i="14" a="1"/>
  <c r="K4" i="19" a="1"/>
  <c r="K23" i="16" a="1"/>
  <c r="J7" i="20" a="1"/>
  <c r="I19" i="14" a="1"/>
  <c r="I15" i="18" a="1"/>
  <c r="K19" i="6" a="1"/>
  <c r="G6" i="5" a="1"/>
  <c r="G5" i="5" a="1"/>
  <c r="H7" i="20" a="1"/>
  <c r="G10" i="18" a="1"/>
  <c r="J20" i="21" a="1"/>
  <c r="G11" i="14" a="1"/>
  <c r="I11" i="9" a="1"/>
  <c r="I21" i="14" a="1"/>
  <c r="J23" i="15" a="1"/>
  <c r="G8" i="21" a="1"/>
  <c r="K19" i="7" a="1"/>
  <c r="I21" i="19" a="1"/>
  <c r="I15" i="21" a="1"/>
  <c r="K4" i="12" a="1"/>
  <c r="J11" i="20" a="1"/>
  <c r="K5" i="10" a="1"/>
  <c r="K14" i="18" a="1"/>
  <c r="I4" i="21" a="1"/>
  <c r="H8" i="12" a="1"/>
  <c r="J19" i="20" a="1"/>
  <c r="K4" i="21" a="1"/>
  <c r="H26" i="18" a="1"/>
  <c r="K9" i="20" a="1"/>
  <c r="H10" i="7" a="1"/>
  <c r="I19" i="16" a="1"/>
  <c r="K23" i="21" a="1"/>
  <c r="J5" i="21" a="1"/>
  <c r="H11" i="15" a="1"/>
  <c r="K26" i="18" a="1"/>
  <c r="I13" i="9" a="1"/>
  <c r="I24" i="20" a="1"/>
  <c r="J9" i="21" a="1"/>
  <c r="K8" i="12" a="1"/>
  <c r="I27" i="20" a="1"/>
  <c r="K23" i="14" a="1"/>
  <c r="I19" i="7" a="1"/>
  <c r="I19" i="21" a="1"/>
  <c r="I4" i="12" a="1"/>
  <c r="I29" i="20" a="1"/>
  <c r="J5" i="14" a="1"/>
  <c r="J18" i="21" a="1"/>
  <c r="K29" i="16" a="1"/>
  <c r="J23" i="21" a="1"/>
  <c r="G12" i="14" a="1"/>
  <c r="H22" i="14" a="1"/>
  <c r="I11" i="14" a="1"/>
  <c r="I8" i="6" a="1"/>
  <c r="K28" i="20" a="1"/>
  <c r="G17" i="20" a="1"/>
  <c r="H21" i="21" a="1"/>
  <c r="G5" i="14" a="1"/>
  <c r="G25" i="20" a="1"/>
  <c r="J12" i="12" a="1"/>
  <c r="H5" i="19" a="1"/>
  <c r="I14" i="18" a="1"/>
  <c r="K11" i="16" a="1"/>
  <c r="I4" i="7" a="1"/>
  <c r="H18" i="6" a="1"/>
  <c r="G19" i="16" a="1"/>
  <c r="K5" i="17" a="1"/>
  <c r="K14" i="21" l="1"/>
  <c r="K11" i="21"/>
  <c r="K23" i="21"/>
  <c r="K10" i="21"/>
  <c r="K16" i="21"/>
  <c r="K17" i="21"/>
  <c r="K9" i="21"/>
  <c r="K20" i="21"/>
  <c r="K22" i="21"/>
  <c r="K6" i="21"/>
  <c r="K12" i="21"/>
  <c r="K15" i="21"/>
  <c r="K7" i="21"/>
  <c r="K19" i="21"/>
  <c r="K18" i="21"/>
  <c r="K21" i="21"/>
  <c r="K8" i="21"/>
  <c r="K13" i="21"/>
  <c r="K5" i="21"/>
  <c r="K4" i="21"/>
  <c r="J11" i="21"/>
  <c r="J23" i="21"/>
  <c r="J10" i="21"/>
  <c r="J14" i="21"/>
  <c r="J17" i="21"/>
  <c r="J9" i="21"/>
  <c r="J18" i="21"/>
  <c r="J22" i="21"/>
  <c r="J6" i="21"/>
  <c r="J8" i="21"/>
  <c r="J15" i="21"/>
  <c r="J7" i="21"/>
  <c r="J12" i="21"/>
  <c r="J19" i="21"/>
  <c r="J16" i="21"/>
  <c r="J20" i="21"/>
  <c r="J21" i="21"/>
  <c r="J13" i="21"/>
  <c r="J5" i="21"/>
  <c r="J4" i="21"/>
  <c r="I12" i="21"/>
  <c r="I11" i="21"/>
  <c r="I21" i="21"/>
  <c r="I10" i="21"/>
  <c r="I14" i="21"/>
  <c r="I17" i="21"/>
  <c r="I9" i="21"/>
  <c r="I18" i="21"/>
  <c r="I22" i="21"/>
  <c r="I6" i="21"/>
  <c r="I8" i="21"/>
  <c r="I15" i="21"/>
  <c r="I7" i="21"/>
  <c r="I19" i="21"/>
  <c r="I16" i="21"/>
  <c r="I20" i="21"/>
  <c r="I23" i="21"/>
  <c r="I13" i="21"/>
  <c r="I5" i="21"/>
  <c r="I4" i="21"/>
  <c r="H20" i="21"/>
  <c r="H11" i="21"/>
  <c r="H23" i="21"/>
  <c r="H10" i="21"/>
  <c r="H16" i="21"/>
  <c r="H17" i="21"/>
  <c r="H9" i="21"/>
  <c r="H19" i="21"/>
  <c r="H22" i="21"/>
  <c r="H6" i="21"/>
  <c r="H12" i="21"/>
  <c r="H15" i="21"/>
  <c r="H7" i="21"/>
  <c r="H14" i="21"/>
  <c r="H18" i="21"/>
  <c r="H21" i="21"/>
  <c r="H8" i="21"/>
  <c r="H13" i="21"/>
  <c r="H5" i="21"/>
  <c r="H4" i="21"/>
  <c r="G22" i="21"/>
  <c r="G11" i="21"/>
  <c r="G17" i="21"/>
  <c r="G6" i="21"/>
  <c r="G18" i="21"/>
  <c r="G21" i="21"/>
  <c r="G9" i="21"/>
  <c r="G12" i="21"/>
  <c r="G20" i="21"/>
  <c r="G23" i="21"/>
  <c r="G14" i="21"/>
  <c r="G15" i="21"/>
  <c r="G7" i="21"/>
  <c r="G8" i="21"/>
  <c r="G16" i="21"/>
  <c r="G19" i="21"/>
  <c r="G10" i="21"/>
  <c r="G13" i="21"/>
  <c r="G5" i="21"/>
  <c r="G4" i="21"/>
  <c r="K16" i="20"/>
  <c r="K23" i="20"/>
  <c r="K11" i="20"/>
  <c r="K26" i="20"/>
  <c r="K12" i="20"/>
  <c r="K28" i="20"/>
  <c r="K10" i="20"/>
  <c r="K17" i="20"/>
  <c r="K9" i="20"/>
  <c r="K19" i="20"/>
  <c r="K22" i="20"/>
  <c r="K6" i="20"/>
  <c r="K24" i="20"/>
  <c r="K8" i="20"/>
  <c r="K15" i="20"/>
  <c r="K7" i="20"/>
  <c r="K21" i="20"/>
  <c r="K14" i="20"/>
  <c r="K25" i="20"/>
  <c r="K18" i="20"/>
  <c r="K27" i="20"/>
  <c r="K20" i="20"/>
  <c r="K29" i="20"/>
  <c r="K13" i="20"/>
  <c r="K5" i="20"/>
  <c r="K4" i="20"/>
  <c r="J24" i="20"/>
  <c r="J8" i="20"/>
  <c r="J19" i="20"/>
  <c r="J14" i="20"/>
  <c r="J25" i="20"/>
  <c r="J9" i="20"/>
  <c r="J20" i="20"/>
  <c r="J12" i="20"/>
  <c r="J26" i="20"/>
  <c r="J23" i="20"/>
  <c r="J15" i="20"/>
  <c r="J7" i="20"/>
  <c r="J16" i="20"/>
  <c r="J27" i="20"/>
  <c r="J11" i="20"/>
  <c r="J22" i="20"/>
  <c r="J6" i="20"/>
  <c r="J17" i="20"/>
  <c r="J28" i="20"/>
  <c r="J18" i="20"/>
  <c r="J10" i="20"/>
  <c r="J29" i="20"/>
  <c r="J21" i="20"/>
  <c r="J13" i="20"/>
  <c r="J5" i="20"/>
  <c r="J4" i="20"/>
  <c r="I28" i="20"/>
  <c r="I8" i="20"/>
  <c r="I11" i="20"/>
  <c r="I24" i="20"/>
  <c r="I10" i="20"/>
  <c r="I22" i="20"/>
  <c r="I29" i="20"/>
  <c r="I17" i="20"/>
  <c r="I9" i="20"/>
  <c r="I26" i="20"/>
  <c r="I20" i="20"/>
  <c r="I6" i="20"/>
  <c r="I18" i="20"/>
  <c r="I23" i="20"/>
  <c r="I15" i="20"/>
  <c r="I7" i="20"/>
  <c r="I12" i="20"/>
  <c r="I19" i="20"/>
  <c r="I27" i="20"/>
  <c r="I16" i="20"/>
  <c r="I25" i="20"/>
  <c r="I14" i="20"/>
  <c r="I21" i="20"/>
  <c r="I13" i="20"/>
  <c r="I5" i="20"/>
  <c r="I4" i="20"/>
  <c r="H18" i="20"/>
  <c r="H19" i="20"/>
  <c r="H11" i="20"/>
  <c r="H28" i="20"/>
  <c r="H14" i="20"/>
  <c r="H26" i="20"/>
  <c r="H8" i="20"/>
  <c r="H17" i="20"/>
  <c r="H9" i="20"/>
  <c r="H25" i="20"/>
  <c r="H24" i="20"/>
  <c r="H10" i="20"/>
  <c r="H22" i="20"/>
  <c r="H27" i="20"/>
  <c r="H15" i="20"/>
  <c r="H7" i="20"/>
  <c r="H23" i="20"/>
  <c r="H12" i="20"/>
  <c r="H29" i="20"/>
  <c r="H20" i="20"/>
  <c r="H6" i="20"/>
  <c r="H16" i="20"/>
  <c r="H21" i="20"/>
  <c r="H13" i="20"/>
  <c r="H5" i="20"/>
  <c r="H4" i="20"/>
  <c r="G14" i="20"/>
  <c r="G27" i="20"/>
  <c r="G19" i="20"/>
  <c r="G11" i="20"/>
  <c r="G24" i="20"/>
  <c r="G12" i="20"/>
  <c r="G22" i="20"/>
  <c r="G25" i="20"/>
  <c r="G17" i="20"/>
  <c r="G9" i="20"/>
  <c r="G20" i="20"/>
  <c r="G10" i="20"/>
  <c r="G18" i="20"/>
  <c r="G23" i="20"/>
  <c r="G15" i="20"/>
  <c r="G7" i="20"/>
  <c r="G28" i="20"/>
  <c r="G26" i="20"/>
  <c r="G29" i="20"/>
  <c r="G16" i="20"/>
  <c r="G6" i="20"/>
  <c r="G8" i="20"/>
  <c r="G21" i="20"/>
  <c r="G13" i="20"/>
  <c r="G5" i="20"/>
  <c r="G4" i="20"/>
  <c r="K5" i="19"/>
  <c r="K21" i="19"/>
  <c r="K4" i="19"/>
  <c r="J5" i="19"/>
  <c r="J4" i="19"/>
  <c r="I5" i="19"/>
  <c r="I10" i="19"/>
  <c r="I14" i="19"/>
  <c r="I21" i="19"/>
  <c r="I13" i="19"/>
  <c r="I4" i="19"/>
  <c r="H5" i="19"/>
  <c r="H4" i="19"/>
  <c r="G5" i="19"/>
  <c r="G4" i="19"/>
  <c r="K16" i="18"/>
  <c r="K11" i="18"/>
  <c r="K27" i="18"/>
  <c r="K12" i="18"/>
  <c r="K22" i="18"/>
  <c r="K25" i="18"/>
  <c r="K17" i="18"/>
  <c r="K9" i="18"/>
  <c r="K8" i="18"/>
  <c r="K24" i="18"/>
  <c r="K10" i="18"/>
  <c r="K18" i="18"/>
  <c r="K23" i="18"/>
  <c r="K15" i="18"/>
  <c r="K7" i="18"/>
  <c r="K26" i="18"/>
  <c r="K19" i="18"/>
  <c r="K20" i="18"/>
  <c r="K6" i="18"/>
  <c r="K14" i="18"/>
  <c r="K21" i="18"/>
  <c r="K13" i="18"/>
  <c r="K5" i="18"/>
  <c r="J8" i="18"/>
  <c r="J11" i="18"/>
  <c r="J27" i="18"/>
  <c r="J12" i="18"/>
  <c r="J24" i="18"/>
  <c r="J25" i="18"/>
  <c r="J17" i="18"/>
  <c r="J9" i="18"/>
  <c r="J14" i="18"/>
  <c r="J22" i="18"/>
  <c r="J10" i="18"/>
  <c r="J20" i="18"/>
  <c r="J23" i="18"/>
  <c r="J15" i="18"/>
  <c r="J7" i="18"/>
  <c r="J26" i="18"/>
  <c r="J19" i="18"/>
  <c r="J18" i="18"/>
  <c r="J6" i="18"/>
  <c r="J16" i="18"/>
  <c r="J21" i="18"/>
  <c r="J13" i="18"/>
  <c r="J5" i="18"/>
  <c r="I16" i="18"/>
  <c r="I19" i="18"/>
  <c r="I11" i="18"/>
  <c r="I24" i="18"/>
  <c r="I14" i="18"/>
  <c r="I6" i="18"/>
  <c r="I25" i="18"/>
  <c r="I17" i="18"/>
  <c r="I9" i="18"/>
  <c r="I8" i="18"/>
  <c r="I20" i="18"/>
  <c r="I12" i="18"/>
  <c r="I26" i="18"/>
  <c r="I23" i="18"/>
  <c r="I15" i="18"/>
  <c r="I7" i="18"/>
  <c r="I27" i="18"/>
  <c r="I18" i="18"/>
  <c r="I10" i="18"/>
  <c r="I22" i="18"/>
  <c r="I21" i="18"/>
  <c r="I13" i="18"/>
  <c r="I5" i="18"/>
  <c r="H6" i="18"/>
  <c r="H11" i="18"/>
  <c r="H23" i="18"/>
  <c r="H18" i="18"/>
  <c r="H27" i="18"/>
  <c r="H20" i="18"/>
  <c r="H25" i="18"/>
  <c r="H9" i="18"/>
  <c r="H24" i="18"/>
  <c r="H8" i="18"/>
  <c r="H17" i="18"/>
  <c r="H14" i="18"/>
  <c r="H21" i="18"/>
  <c r="H16" i="18"/>
  <c r="H15" i="18"/>
  <c r="H7" i="18"/>
  <c r="H22" i="18"/>
  <c r="H26" i="18"/>
  <c r="H12" i="18"/>
  <c r="H19" i="18"/>
  <c r="H10" i="18"/>
  <c r="H13" i="18"/>
  <c r="H5" i="18"/>
  <c r="G23" i="18"/>
  <c r="G11" i="18"/>
  <c r="G21" i="18"/>
  <c r="G10" i="18"/>
  <c r="G26" i="18"/>
  <c r="G12" i="18"/>
  <c r="G17" i="18"/>
  <c r="G9" i="18"/>
  <c r="G16" i="18"/>
  <c r="G24" i="18"/>
  <c r="G6" i="18"/>
  <c r="G22" i="18"/>
  <c r="G8" i="18"/>
  <c r="G15" i="18"/>
  <c r="G7" i="18"/>
  <c r="G14" i="18"/>
  <c r="G19" i="18"/>
  <c r="G20" i="18"/>
  <c r="G25" i="18"/>
  <c r="G18" i="18"/>
  <c r="G27" i="18"/>
  <c r="G13" i="18"/>
  <c r="G5" i="18"/>
  <c r="G4" i="18"/>
  <c r="K5" i="17"/>
  <c r="K5" i="16"/>
  <c r="K10" i="16"/>
  <c r="K19" i="16"/>
  <c r="K11" i="16"/>
  <c r="K29" i="16"/>
  <c r="K18" i="16"/>
  <c r="K22" i="16"/>
  <c r="K23" i="16"/>
  <c r="K4" i="16"/>
  <c r="J5" i="16"/>
  <c r="J24" i="16"/>
  <c r="J27" i="16"/>
  <c r="J8" i="16"/>
  <c r="J32" i="16"/>
  <c r="J16" i="16"/>
  <c r="J19" i="16"/>
  <c r="J4" i="16"/>
  <c r="I5" i="16"/>
  <c r="I10" i="16"/>
  <c r="I31" i="16"/>
  <c r="I11" i="16"/>
  <c r="I26" i="16"/>
  <c r="I29" i="16"/>
  <c r="I20" i="16"/>
  <c r="I19" i="16"/>
  <c r="I4" i="16"/>
  <c r="H5" i="16"/>
  <c r="H20" i="16"/>
  <c r="H30" i="16"/>
  <c r="H11" i="16"/>
  <c r="H29" i="16"/>
  <c r="H16" i="16"/>
  <c r="H31" i="16"/>
  <c r="H19" i="16"/>
  <c r="H4" i="16"/>
  <c r="G5" i="16"/>
  <c r="G28" i="16"/>
  <c r="G32" i="16"/>
  <c r="G19" i="16"/>
  <c r="G11" i="16"/>
  <c r="G18" i="16"/>
  <c r="G27" i="16"/>
  <c r="G4" i="16"/>
  <c r="K5" i="15"/>
  <c r="K22" i="15"/>
  <c r="K23" i="15"/>
  <c r="K16" i="15"/>
  <c r="K4" i="15"/>
  <c r="J5" i="15"/>
  <c r="J14" i="15"/>
  <c r="J11" i="15"/>
  <c r="J8" i="15"/>
  <c r="J23" i="15"/>
  <c r="J22" i="15"/>
  <c r="J4" i="15"/>
  <c r="I5" i="15"/>
  <c r="I4" i="15"/>
  <c r="H5" i="15"/>
  <c r="H6" i="15"/>
  <c r="H11" i="15"/>
  <c r="H12" i="15"/>
  <c r="H22" i="15"/>
  <c r="H19" i="15"/>
  <c r="H4" i="15"/>
  <c r="G5" i="15"/>
  <c r="G6" i="15"/>
  <c r="G8" i="15"/>
  <c r="G22" i="15"/>
  <c r="G18" i="15"/>
  <c r="G19" i="15"/>
  <c r="G20" i="15"/>
  <c r="G11" i="15"/>
  <c r="G21" i="15"/>
  <c r="G12" i="15"/>
  <c r="G24" i="15"/>
  <c r="G10" i="15"/>
  <c r="G4" i="15"/>
  <c r="K5" i="14"/>
  <c r="K28" i="14"/>
  <c r="K30" i="14"/>
  <c r="K11" i="14"/>
  <c r="K23" i="14"/>
  <c r="K12" i="14"/>
  <c r="K14" i="14"/>
  <c r="K4" i="14"/>
  <c r="J5" i="14"/>
  <c r="J21" i="14"/>
  <c r="J11" i="14"/>
  <c r="J14" i="14"/>
  <c r="J30" i="14"/>
  <c r="J16" i="14"/>
  <c r="J23" i="14"/>
  <c r="J4" i="14"/>
  <c r="I5" i="14"/>
  <c r="I16" i="14"/>
  <c r="I14" i="14"/>
  <c r="I11" i="14"/>
  <c r="I19" i="14"/>
  <c r="I30" i="14"/>
  <c r="I21" i="14"/>
  <c r="I4" i="14"/>
  <c r="H5" i="14"/>
  <c r="H18" i="14"/>
  <c r="H22" i="14"/>
  <c r="H11" i="14"/>
  <c r="H27" i="14"/>
  <c r="H6" i="14"/>
  <c r="H19" i="14"/>
  <c r="H4" i="14"/>
  <c r="G5" i="14"/>
  <c r="G12" i="14"/>
  <c r="G30" i="14"/>
  <c r="G11" i="14"/>
  <c r="G14" i="14"/>
  <c r="G28" i="14"/>
  <c r="G19" i="14"/>
  <c r="G4" i="14"/>
  <c r="K5" i="13"/>
  <c r="K6" i="13"/>
  <c r="K9" i="13"/>
  <c r="K4" i="13"/>
  <c r="J5" i="13"/>
  <c r="J9" i="13"/>
  <c r="J4" i="13"/>
  <c r="I5" i="13"/>
  <c r="I9" i="13"/>
  <c r="I4" i="13"/>
  <c r="H5" i="13"/>
  <c r="H9" i="13"/>
  <c r="H4" i="13"/>
  <c r="G5" i="13"/>
  <c r="G9" i="13"/>
  <c r="G4" i="13"/>
  <c r="K5" i="12"/>
  <c r="K8" i="12"/>
  <c r="K12" i="12"/>
  <c r="K4" i="12"/>
  <c r="J7" i="12"/>
  <c r="J8" i="12"/>
  <c r="J12" i="12"/>
  <c r="J10" i="12"/>
  <c r="J5" i="12"/>
  <c r="J4" i="12"/>
  <c r="I5" i="12"/>
  <c r="I6" i="12"/>
  <c r="I12" i="12"/>
  <c r="I4" i="12"/>
  <c r="H5" i="12"/>
  <c r="H8" i="12"/>
  <c r="H12" i="12"/>
  <c r="H4" i="12"/>
  <c r="G5" i="12"/>
  <c r="G8" i="12"/>
  <c r="G12" i="12"/>
  <c r="G4" i="12"/>
  <c r="K5" i="11"/>
  <c r="K4" i="11"/>
  <c r="J5" i="11"/>
  <c r="J4" i="11"/>
  <c r="I5" i="11"/>
  <c r="I4" i="11"/>
  <c r="H5" i="11"/>
  <c r="H4" i="11"/>
  <c r="G5" i="11"/>
  <c r="G4" i="11"/>
  <c r="K5" i="10"/>
  <c r="K4" i="10"/>
  <c r="J5" i="10"/>
  <c r="J4" i="10"/>
  <c r="I5" i="10"/>
  <c r="I4" i="10"/>
  <c r="H5" i="10"/>
  <c r="H4" i="10"/>
  <c r="G5" i="10"/>
  <c r="G4" i="10"/>
  <c r="K5" i="9"/>
  <c r="K16" i="9"/>
  <c r="K11" i="9"/>
  <c r="K14" i="9"/>
  <c r="K4" i="9"/>
  <c r="J5" i="9"/>
  <c r="J11" i="9"/>
  <c r="J14" i="9"/>
  <c r="J16" i="9"/>
  <c r="J4" i="9"/>
  <c r="I5" i="9"/>
  <c r="I8" i="9"/>
  <c r="I6" i="9"/>
  <c r="I11" i="9"/>
  <c r="I14" i="9"/>
  <c r="I16" i="9"/>
  <c r="I13" i="9"/>
  <c r="I4" i="9"/>
  <c r="H5" i="9"/>
  <c r="H14" i="9"/>
  <c r="H16" i="9"/>
  <c r="H4" i="9"/>
  <c r="G5" i="9"/>
  <c r="G11" i="9"/>
  <c r="G16" i="9"/>
  <c r="G14" i="9"/>
  <c r="G4" i="9"/>
  <c r="K5" i="8"/>
  <c r="K4" i="8"/>
  <c r="J5" i="8"/>
  <c r="J4" i="8"/>
  <c r="I5" i="8"/>
  <c r="I4" i="8"/>
  <c r="H5" i="8"/>
  <c r="H4" i="8"/>
  <c r="G5" i="8"/>
  <c r="G4" i="8"/>
  <c r="K5" i="7"/>
  <c r="K8" i="7"/>
  <c r="K18" i="7"/>
  <c r="K19" i="7"/>
  <c r="K4" i="7"/>
  <c r="J5" i="7"/>
  <c r="J15" i="7"/>
  <c r="J11" i="7"/>
  <c r="J10" i="7"/>
  <c r="J6" i="7"/>
  <c r="J4" i="7"/>
  <c r="I5" i="7"/>
  <c r="I19" i="7"/>
  <c r="I17" i="7"/>
  <c r="I10" i="7"/>
  <c r="I4" i="7"/>
  <c r="H5" i="7"/>
  <c r="H17" i="7"/>
  <c r="H11" i="7"/>
  <c r="H10" i="7"/>
  <c r="H6" i="7"/>
  <c r="H4" i="7"/>
  <c r="G5" i="7"/>
  <c r="G12" i="7"/>
  <c r="G11" i="7"/>
  <c r="G18" i="7"/>
  <c r="G17" i="7"/>
  <c r="G20" i="7"/>
  <c r="G19" i="7"/>
  <c r="G10" i="7"/>
  <c r="G9" i="7"/>
  <c r="G4" i="7"/>
  <c r="K5" i="6"/>
  <c r="K6" i="6"/>
  <c r="K19" i="6"/>
  <c r="K4" i="6"/>
  <c r="J5" i="6"/>
  <c r="J19" i="6"/>
  <c r="J14" i="6"/>
  <c r="J11" i="6"/>
  <c r="J20" i="6"/>
  <c r="J4" i="6"/>
  <c r="I5" i="6"/>
  <c r="I8" i="6"/>
  <c r="I19" i="6"/>
  <c r="I16" i="6"/>
  <c r="I11" i="6"/>
  <c r="I4" i="6"/>
  <c r="H5" i="6"/>
  <c r="H18" i="6"/>
  <c r="H11" i="6"/>
  <c r="H23" i="6"/>
  <c r="H10" i="6"/>
  <c r="H4" i="6"/>
  <c r="G5" i="6"/>
  <c r="G22" i="6"/>
  <c r="G11" i="6"/>
  <c r="G12" i="6"/>
  <c r="G8" i="6"/>
  <c r="G4" i="6"/>
  <c r="G6" i="3"/>
  <c r="G14" i="3"/>
  <c r="G7" i="3"/>
  <c r="G5" i="3"/>
  <c r="H6" i="5"/>
  <c r="H12" i="5"/>
  <c r="H13" i="5"/>
  <c r="H5" i="5"/>
  <c r="G6" i="5"/>
  <c r="G9" i="5"/>
  <c r="G13" i="5"/>
  <c r="G5" i="5"/>
  <c r="H6" i="4"/>
  <c r="H13" i="4"/>
  <c r="H5" i="4"/>
  <c r="G6" i="4"/>
  <c r="G5" i="4"/>
  <c r="H6" i="3"/>
  <c r="H14" i="3"/>
  <c r="H12" i="3"/>
  <c r="H5" i="3"/>
  <c r="B4" i="2"/>
  <c r="H4" i="17" a="1"/>
  <c r="F8" i="8" a="1"/>
  <c r="K17" i="14" a="1"/>
  <c r="H6" i="17" a="1"/>
  <c r="I20" i="8" a="1"/>
  <c r="H23" i="14" a="1"/>
  <c r="F16" i="18" a="1"/>
  <c r="J9" i="7" a="1"/>
  <c r="F18" i="8" a="1"/>
  <c r="F14" i="18" a="1"/>
  <c r="F4" i="14" a="1"/>
  <c r="J9" i="6" a="1"/>
  <c r="F4" i="16" a="1"/>
  <c r="G19" i="8" a="1"/>
  <c r="K20" i="16" a="1"/>
  <c r="F17" i="16" a="1"/>
  <c r="I8" i="13" a="1"/>
  <c r="I23" i="16" a="1"/>
  <c r="F13" i="21" a="1"/>
  <c r="F12" i="3" a="1"/>
  <c r="J19" i="8" a="1"/>
  <c r="F29" i="20" a="1"/>
  <c r="J17" i="14" a="1"/>
  <c r="K27" i="16" a="1"/>
  <c r="H19" i="8" a="1"/>
  <c r="J20" i="17" a="1"/>
  <c r="H6" i="12" a="1"/>
  <c r="G8" i="17" a="1"/>
  <c r="G17" i="8" a="1"/>
  <c r="H7" i="19" a="1"/>
  <c r="F5" i="10" a="1"/>
  <c r="J8" i="14" a="1"/>
  <c r="F10" i="5" a="1"/>
  <c r="F22" i="15" a="1"/>
  <c r="G17" i="16" a="1"/>
  <c r="J20" i="19" a="1"/>
  <c r="J8" i="10" a="1"/>
  <c r="I11" i="15" a="1"/>
  <c r="G16" i="3" a="1"/>
  <c r="G12" i="9" a="1"/>
  <c r="F11" i="15" a="1"/>
  <c r="F6" i="13" a="1"/>
  <c r="I7" i="17" a="1"/>
  <c r="F27" i="20" a="1"/>
  <c r="J27" i="14" a="1"/>
  <c r="K31" i="16" a="1"/>
  <c r="G6" i="8" a="1"/>
  <c r="G23" i="14" a="1"/>
  <c r="F10" i="14" a="1"/>
  <c r="F30" i="14" a="1"/>
  <c r="F20" i="8" a="1"/>
  <c r="F6" i="5" a="1"/>
  <c r="G8" i="14" a="1"/>
  <c r="I9" i="16" a="1"/>
  <c r="I15" i="7" a="1"/>
  <c r="J6" i="11" a="1"/>
  <c r="K18" i="19" a="1"/>
  <c r="F22" i="6" a="1"/>
  <c r="H8" i="4" a="1"/>
  <c r="F15" i="16" a="1"/>
  <c r="K23" i="6" a="1"/>
  <c r="H28" i="16" a="1"/>
  <c r="J8" i="19" a="1"/>
  <c r="H8" i="6" a="1"/>
  <c r="K21" i="17" a="1"/>
  <c r="I14" i="8" a="1"/>
  <c r="I24" i="14" a="1"/>
  <c r="F12" i="21" a="1"/>
  <c r="K13" i="7" a="1"/>
  <c r="I9" i="19" a="1"/>
  <c r="F6" i="4" a="1"/>
  <c r="H5" i="2" a="1"/>
  <c r="J6" i="17" a="1"/>
  <c r="I18" i="6" a="1"/>
  <c r="K18" i="15" a="1"/>
  <c r="H10" i="19" a="1"/>
  <c r="I10" i="9" a="1"/>
  <c r="H23" i="15" a="1"/>
  <c r="H23" i="17" a="1"/>
  <c r="G10" i="8" a="1"/>
  <c r="G13" i="14" a="1"/>
  <c r="F20" i="18" a="1"/>
  <c r="H7" i="7" a="1"/>
  <c r="G21" i="19" a="1"/>
  <c r="F11" i="21" a="1"/>
  <c r="F21" i="18" a="1"/>
  <c r="J6" i="16" a="1"/>
  <c r="H12" i="8" a="1"/>
  <c r="H10" i="5" a="1"/>
  <c r="K8" i="6" a="1"/>
  <c r="F25" i="17" a="1"/>
  <c r="H9" i="7" a="1"/>
  <c r="F4" i="17" a="1"/>
  <c r="F14" i="16" a="1"/>
  <c r="H8" i="17" a="1"/>
  <c r="I19" i="17" a="1"/>
  <c r="J9" i="16" a="1"/>
  <c r="J6" i="9" a="1"/>
  <c r="F22" i="16" a="1"/>
  <c r="I12" i="16" a="1"/>
  <c r="F9" i="20" a="1"/>
  <c r="H7" i="14" a="1"/>
  <c r="G7" i="7" a="1"/>
  <c r="J16" i="15" a="1"/>
  <c r="H7" i="5" a="1"/>
  <c r="J18" i="17" a="1"/>
  <c r="G25" i="16" a="1"/>
  <c r="F10" i="15" a="1"/>
  <c r="I12" i="7" a="1"/>
  <c r="H10" i="3" a="1"/>
  <c r="J9" i="14" a="1"/>
  <c r="I8" i="14" a="1"/>
  <c r="F5" i="8" a="1"/>
  <c r="I8" i="17" a="1"/>
  <c r="J4" i="17" a="1"/>
  <c r="J7" i="10" a="1"/>
  <c r="J9" i="15" a="1"/>
  <c r="H16" i="6" a="1"/>
  <c r="H11" i="9" a="1"/>
  <c r="F10" i="4" a="1"/>
  <c r="H8" i="3" a="1"/>
  <c r="F5" i="9" a="1"/>
  <c r="I26" i="14" a="1"/>
  <c r="I7" i="14" a="1"/>
  <c r="F16" i="21" a="1"/>
  <c r="H9" i="19" a="1"/>
  <c r="G10" i="5" a="1"/>
  <c r="H8" i="15" a="1"/>
  <c r="I9" i="17" a="1"/>
  <c r="J18" i="8" a="1"/>
  <c r="J22" i="14" a="1"/>
  <c r="F21" i="15" a="1"/>
  <c r="G27" i="14" a="1"/>
  <c r="F13" i="5" a="1"/>
  <c r="K15" i="19" a="1"/>
  <c r="K13" i="9" a="1"/>
  <c r="I13" i="15" a="1"/>
  <c r="G10" i="3" a="1"/>
  <c r="H7" i="6" a="1"/>
  <c r="F7" i="9" a="1"/>
  <c r="I20" i="15" a="1"/>
  <c r="H8" i="5" a="1"/>
  <c r="I6" i="16" a="1"/>
  <c r="F9" i="7" a="1"/>
  <c r="G6" i="10" a="1"/>
  <c r="K9" i="10" a="1"/>
  <c r="F25" i="16" a="1"/>
  <c r="H16" i="14" a="1"/>
  <c r="J7" i="16" a="1"/>
  <c r="K17" i="7" a="1"/>
  <c r="K6" i="12" a="1"/>
  <c r="F10" i="8" a="1"/>
  <c r="K13" i="6" a="1"/>
  <c r="F19" i="16" a="1"/>
  <c r="F16" i="8" a="1"/>
  <c r="G6" i="16" a="1"/>
  <c r="I7" i="19" a="1"/>
  <c r="H11" i="10" a="1"/>
  <c r="H10" i="15" a="1"/>
  <c r="H10" i="4" a="1"/>
  <c r="K16" i="8" a="1"/>
  <c r="F9" i="9" a="1"/>
  <c r="J15" i="16" a="1"/>
  <c r="H8" i="13" a="1"/>
  <c r="F12" i="6" a="1"/>
  <c r="K10" i="8" a="1"/>
  <c r="J28" i="14" a="1"/>
  <c r="F6" i="21" a="1"/>
  <c r="G18" i="8" a="1"/>
  <c r="G13" i="15" a="1"/>
  <c r="K27" i="14" a="1"/>
  <c r="F8" i="21" a="1"/>
  <c r="H12" i="17" a="1"/>
  <c r="F10" i="19" a="1"/>
  <c r="I15" i="14" a="1"/>
  <c r="G21" i="17" a="1"/>
  <c r="G12" i="16" a="1"/>
  <c r="H22" i="6" a="1"/>
  <c r="G13" i="4" a="1"/>
  <c r="F7" i="15" a="1"/>
  <c r="K16" i="16" a="1"/>
  <c r="F15" i="14" a="1"/>
  <c r="I21" i="16" a="1"/>
  <c r="I11" i="17" a="1"/>
  <c r="K9" i="8" a="1"/>
  <c r="F27" i="18" a="1"/>
  <c r="F20" i="14" a="1"/>
  <c r="H30" i="14" a="1"/>
  <c r="G10" i="17" a="1"/>
  <c r="F10" i="6" a="1"/>
  <c r="K24" i="15" a="1"/>
  <c r="K14" i="6" a="1"/>
  <c r="H11" i="17" a="1"/>
  <c r="G14" i="17" a="1"/>
  <c r="K20" i="7" a="1"/>
  <c r="J6" i="13" a="1"/>
  <c r="F18" i="18" a="1"/>
  <c r="K12" i="6" a="1"/>
  <c r="K10" i="17" a="1"/>
  <c r="F24" i="17" a="1"/>
  <c r="J21" i="6" a="1"/>
  <c r="F19" i="20" a="1"/>
  <c r="F8" i="15" a="1"/>
  <c r="F19" i="15" a="1"/>
  <c r="I8" i="16" a="1"/>
  <c r="J10" i="17" a="1"/>
  <c r="H9" i="12" a="1"/>
  <c r="K20" i="15" a="1"/>
  <c r="I15" i="6" a="1"/>
  <c r="G11" i="10" a="1"/>
  <c r="G7" i="4" a="1"/>
  <c r="I7" i="6" a="1"/>
  <c r="K11" i="17" a="1"/>
  <c r="K28" i="16" a="1"/>
  <c r="I18" i="7" a="1"/>
  <c r="I10" i="12" a="1"/>
  <c r="F10" i="10" a="1"/>
  <c r="J6" i="15" a="1"/>
  <c r="J6" i="8" a="1"/>
  <c r="H7" i="13" a="1"/>
  <c r="F5" i="3" a="1"/>
  <c r="J7" i="14" a="1"/>
  <c r="F16" i="14" a="1"/>
  <c r="J8" i="7" a="1"/>
  <c r="I24" i="17" a="1"/>
  <c r="J16" i="19" a="1"/>
  <c r="H17" i="9" a="1"/>
  <c r="K9" i="14" a="1"/>
  <c r="G8" i="4" a="1"/>
  <c r="I18" i="8" a="1"/>
  <c r="J26" i="17" a="1"/>
  <c r="F19" i="21" a="1"/>
  <c r="H7" i="4" a="1"/>
  <c r="F29" i="16" a="1"/>
  <c r="H14" i="14" a="1"/>
  <c r="I30" i="16" a="1"/>
  <c r="J16" i="7" a="1"/>
  <c r="H7" i="12" a="1"/>
  <c r="F12" i="12" a="1"/>
  <c r="J6" i="6" a="1"/>
  <c r="F29" i="14" a="1"/>
  <c r="I7" i="11" a="1"/>
  <c r="J9" i="19" a="1"/>
  <c r="F7" i="4" a="1"/>
  <c r="J10" i="6" a="1"/>
  <c r="H9" i="10" a="1"/>
  <c r="F7" i="7" a="1"/>
  <c r="G9" i="3" a="1"/>
  <c r="G7" i="8" a="1"/>
  <c r="G12" i="17" a="1"/>
  <c r="F27" i="14" a="1"/>
  <c r="J19" i="15" a="1"/>
  <c r="H12" i="19" a="1"/>
  <c r="J15" i="9" a="1"/>
  <c r="K29" i="14" a="1"/>
  <c r="J11" i="17" a="1"/>
  <c r="H9" i="14" a="1"/>
  <c r="F4" i="12" a="1"/>
  <c r="H8" i="7" a="1"/>
  <c r="H7" i="17" a="1"/>
  <c r="F25" i="18" a="1"/>
  <c r="K18" i="14" a="1"/>
  <c r="F26" i="20" a="1"/>
  <c r="F8" i="13" a="1"/>
  <c r="I24" i="15" a="1"/>
  <c r="K18" i="17" a="1"/>
  <c r="G15" i="9" a="1"/>
  <c r="J18" i="14" a="1"/>
  <c r="F8" i="18" a="1"/>
  <c r="G20" i="17" a="1"/>
  <c r="G18" i="14" a="1"/>
  <c r="F15" i="20" a="1"/>
  <c r="J7" i="6" a="1"/>
  <c r="K17" i="16" a="1"/>
  <c r="F9" i="16" a="1"/>
  <c r="I6" i="14" a="1"/>
  <c r="F15" i="6" a="1"/>
  <c r="H20" i="6" a="1"/>
  <c r="F9" i="14" a="1"/>
  <c r="F14" i="19" a="1"/>
  <c r="G14" i="19" a="1"/>
  <c r="F7" i="3" a="1"/>
  <c r="H6" i="2" a="1"/>
  <c r="J15" i="14" a="1"/>
  <c r="F13" i="20" a="1"/>
  <c r="G9" i="12" a="1"/>
  <c r="H10" i="14" a="1"/>
  <c r="I22" i="14" a="1"/>
  <c r="H15" i="9" a="1"/>
  <c r="H6" i="10" a="1"/>
  <c r="J13" i="17" a="1"/>
  <c r="F9" i="21" a="1"/>
  <c r="H12" i="9" a="1"/>
  <c r="F14" i="3" a="1"/>
  <c r="I15" i="9" a="1"/>
  <c r="K17" i="8" a="1"/>
  <c r="K25" i="17" a="1"/>
  <c r="G18" i="17" a="1"/>
  <c r="I15" i="15" a="1"/>
  <c r="G12" i="4" a="1"/>
  <c r="J16" i="8" a="1"/>
  <c r="K9" i="19" a="1"/>
  <c r="F17" i="21" a="1"/>
  <c r="G16" i="16" a="1"/>
  <c r="F17" i="8" a="1"/>
  <c r="F24" i="15" a="1"/>
  <c r="F11" i="7" a="1"/>
  <c r="H6" i="13" a="1"/>
  <c r="F12" i="7" a="1"/>
  <c r="J29" i="14" a="1"/>
  <c r="G13" i="17" a="1"/>
  <c r="H16" i="8" a="1"/>
  <c r="G6" i="14" a="1"/>
  <c r="F5" i="15" a="1"/>
  <c r="I16" i="7" a="1"/>
  <c r="J18" i="6" a="1"/>
  <c r="F17" i="15" a="1"/>
  <c r="J25" i="17" a="1"/>
  <c r="H9" i="15" a="1"/>
  <c r="G6" i="2" a="1"/>
  <c r="H17" i="8" a="1"/>
  <c r="I17" i="19" a="1"/>
  <c r="I14" i="6" a="1"/>
  <c r="K22" i="17" a="1"/>
  <c r="J13" i="8" a="1"/>
  <c r="F20" i="6" a="1"/>
  <c r="H10" i="10" a="1"/>
  <c r="J21" i="19" a="1"/>
  <c r="H9" i="2" a="1"/>
  <c r="I22" i="17" a="1"/>
  <c r="J23" i="16" a="1"/>
  <c r="G15" i="7" a="1"/>
  <c r="G6" i="11" a="1"/>
  <c r="F9" i="17" a="1"/>
  <c r="H17" i="6" a="1"/>
  <c r="G9" i="17" a="1"/>
  <c r="F21" i="19" a="1"/>
  <c r="G25" i="17" a="1"/>
  <c r="I15" i="19" a="1"/>
  <c r="G7" i="9" a="1"/>
  <c r="K7" i="14" a="1"/>
  <c r="H12" i="2" a="1"/>
  <c r="H10" i="8" a="1"/>
  <c r="K13" i="19" a="1"/>
  <c r="F14" i="21" a="1"/>
  <c r="F14" i="6" a="1"/>
  <c r="G13" i="8" a="1"/>
  <c r="G14" i="16" a="1"/>
  <c r="H8" i="19" a="1"/>
  <c r="F11" i="20" a="1"/>
  <c r="J20" i="7" a="1"/>
  <c r="K17" i="17" a="1"/>
  <c r="F14" i="9" a="1"/>
  <c r="H13" i="17" a="1"/>
  <c r="F16" i="20" a="1"/>
  <c r="F27" i="16" a="1"/>
  <c r="K8" i="13" a="1"/>
  <c r="H32" i="16" a="1"/>
  <c r="H19" i="7" a="1"/>
  <c r="K8" i="10" a="1"/>
  <c r="I20" i="19" a="1"/>
  <c r="H8" i="9" a="1"/>
  <c r="F6" i="15" a="1"/>
  <c r="F6" i="19" a="1"/>
  <c r="K7" i="15" a="1"/>
  <c r="F7" i="10" a="1"/>
  <c r="I9" i="10" a="1"/>
  <c r="I16" i="19" a="1"/>
  <c r="F9" i="13" a="1"/>
  <c r="I7" i="12" a="1"/>
  <c r="G7" i="16" a="1"/>
  <c r="K15" i="6" a="1"/>
  <c r="G10" i="10" a="1"/>
  <c r="F18" i="16" a="1"/>
  <c r="K7" i="17" a="1"/>
  <c r="J11" i="8" a="1"/>
  <c r="J24" i="17" a="1"/>
  <c r="F24" i="20" a="1"/>
  <c r="H20" i="15" a="1"/>
  <c r="F9" i="4" a="1"/>
  <c r="I12" i="9" a="1"/>
  <c r="K6" i="17" a="1"/>
  <c r="J20" i="8" a="1"/>
  <c r="J21" i="17" a="1"/>
  <c r="I9" i="7" a="1"/>
  <c r="F4" i="7" a="1"/>
  <c r="F17" i="19" a="1"/>
  <c r="F17" i="7" a="1"/>
  <c r="F14" i="20" a="1"/>
  <c r="I9" i="15" a="1"/>
  <c r="J10" i="9" a="1"/>
  <c r="G8" i="10" a="1"/>
  <c r="F23" i="21" a="1"/>
  <c r="K7" i="9" a="1"/>
  <c r="K10" i="15" a="1"/>
  <c r="K12" i="8" a="1"/>
  <c r="G23" i="16" a="1"/>
  <c r="H7" i="9" a="1"/>
  <c r="I28" i="16" a="1"/>
  <c r="H29" i="14" a="1"/>
  <c r="F10" i="9" a="1"/>
  <c r="F11" i="18" a="1"/>
  <c r="F4" i="20" a="1"/>
  <c r="K9" i="15" a="1"/>
  <c r="I27" i="14" a="1"/>
  <c r="I6" i="8" a="1"/>
  <c r="G6" i="19" a="1"/>
  <c r="J14" i="19" a="1"/>
  <c r="F13" i="15" a="1"/>
  <c r="J16" i="6" a="1"/>
  <c r="H19" i="17" a="1"/>
  <c r="F14" i="8" a="1"/>
  <c r="F16" i="9" a="1"/>
  <c r="G10" i="12" a="1"/>
  <c r="H9" i="16" a="1"/>
  <c r="F12" i="9" a="1"/>
  <c r="G23" i="17" a="1"/>
  <c r="G6" i="13" a="1"/>
  <c r="F16" i="19" a="1"/>
  <c r="I17" i="6" a="1"/>
  <c r="K12" i="16" a="1"/>
  <c r="F13" i="19" a="1"/>
  <c r="H13" i="14" a="1"/>
  <c r="F13" i="6" a="1"/>
  <c r="F23" i="15" a="1"/>
  <c r="J7" i="15" a="1"/>
  <c r="F22" i="20" a="1"/>
  <c r="J8" i="17" a="1"/>
  <c r="H7" i="10" a="1"/>
  <c r="I12" i="15" a="1"/>
  <c r="G15" i="6" a="1"/>
  <c r="K20" i="8" a="1"/>
  <c r="F5" i="6" a="1"/>
  <c r="F16" i="16" a="1"/>
  <c r="H24" i="17" a="1"/>
  <c r="H5" i="17" a="1"/>
  <c r="G6" i="12" a="1"/>
  <c r="F9" i="6" a="1"/>
  <c r="G9" i="6" a="1"/>
  <c r="I14" i="16" a="1"/>
  <c r="H18" i="16" a="1"/>
  <c r="G13" i="7" a="1"/>
  <c r="H6" i="6" a="1"/>
  <c r="F9" i="5" a="1"/>
  <c r="J17" i="7" a="1"/>
  <c r="J29" i="16" a="1"/>
  <c r="F16" i="6" a="1"/>
  <c r="K14" i="17" a="1"/>
  <c r="K24" i="14" a="1"/>
  <c r="F15" i="17" a="1"/>
  <c r="G9" i="8" a="1"/>
  <c r="G16" i="19" a="1"/>
  <c r="F5" i="7" a="1"/>
  <c r="I17" i="15" a="1"/>
  <c r="F5" i="2" a="1"/>
  <c r="K4" i="17" a="1"/>
  <c r="I7" i="16" a="1"/>
  <c r="K17" i="6" a="1"/>
  <c r="J11" i="10" a="1"/>
  <c r="F15" i="7" a="1"/>
  <c r="G16" i="6" a="1"/>
  <c r="K24" i="16" a="1"/>
  <c r="F15" i="15" a="1"/>
  <c r="J25" i="16" a="1"/>
  <c r="F18" i="6" a="1"/>
  <c r="I5" i="17" a="1"/>
  <c r="H12" i="16" a="1"/>
  <c r="F12" i="16" a="1"/>
  <c r="H11" i="3" a="1"/>
  <c r="G30" i="16" a="1"/>
  <c r="F8" i="7" a="1"/>
  <c r="G17" i="14" a="1"/>
  <c r="I6" i="17" a="1"/>
  <c r="G20" i="19" a="1"/>
  <c r="J9" i="8" a="1"/>
  <c r="J20" i="14" a="1"/>
  <c r="F4" i="19" a="1"/>
  <c r="G16" i="8" a="1"/>
  <c r="I27" i="16" a="1"/>
  <c r="G8" i="7" a="1"/>
  <c r="I16" i="17" a="1"/>
  <c r="F12" i="19" a="1"/>
  <c r="G20" i="14" a="1"/>
  <c r="F24" i="16" a="1"/>
  <c r="K7" i="7" a="1"/>
  <c r="I17" i="16" a="1"/>
  <c r="I18" i="17" a="1"/>
  <c r="I9" i="8" a="1"/>
  <c r="H21" i="14" a="1"/>
  <c r="F5" i="18" a="1"/>
  <c r="J19" i="7" a="1"/>
  <c r="H20" i="19" a="1"/>
  <c r="G22" i="16" a="1"/>
  <c r="I6" i="6" a="1"/>
  <c r="K15" i="16" a="1"/>
  <c r="F11" i="14" a="1"/>
  <c r="H11" i="12" a="1"/>
  <c r="F19" i="8" a="1"/>
  <c r="G6" i="7" a="1"/>
  <c r="G15" i="16" a="1"/>
  <c r="J22" i="17" a="1"/>
  <c r="G7" i="6" a="1"/>
  <c r="G13" i="19" a="1"/>
  <c r="H14" i="19" a="1"/>
  <c r="K14" i="7" a="1"/>
  <c r="H6" i="9" a="1"/>
  <c r="F17" i="14" a="1"/>
  <c r="F4" i="9" a="1"/>
  <c r="F14" i="15" a="1"/>
  <c r="H17" i="16" a="1"/>
  <c r="I6" i="11" a="1"/>
  <c r="I8" i="11" a="1"/>
  <c r="K20" i="17" a="1"/>
  <c r="H28" i="14" a="1"/>
  <c r="F19" i="18" a="1"/>
  <c r="K12" i="17" a="1"/>
  <c r="I12" i="6" a="1"/>
  <c r="F17" i="6" a="1"/>
  <c r="F10" i="12" a="1"/>
  <c r="F22" i="17" a="1"/>
  <c r="G18" i="19" a="1"/>
  <c r="J11" i="16" a="1"/>
  <c r="G19" i="6" a="1"/>
  <c r="H10" i="2" a="1"/>
  <c r="F6" i="17" a="1"/>
  <c r="H8" i="8" a="1"/>
  <c r="I20" i="17" a="1"/>
  <c r="F4" i="8" a="1"/>
  <c r="G14" i="8" a="1"/>
  <c r="K25" i="16" a="1"/>
  <c r="F12" i="20" a="1"/>
  <c r="F21" i="6" a="1"/>
  <c r="F10" i="20" a="1"/>
  <c r="I13" i="17" a="1"/>
  <c r="F23" i="16" a="1"/>
  <c r="H21" i="16" a="1"/>
  <c r="H26" i="14" a="1"/>
  <c r="J10" i="14" a="1"/>
  <c r="I8" i="12" a="1"/>
  <c r="J11" i="19" a="1"/>
  <c r="I25" i="14" a="1"/>
  <c r="G31" i="16" a="1"/>
  <c r="K16" i="17" a="1"/>
  <c r="I16" i="8" a="1"/>
  <c r="K17" i="19" a="1"/>
  <c r="F6" i="20" a="1"/>
  <c r="H7" i="15" a="1"/>
  <c r="F14" i="7" a="1"/>
  <c r="H13" i="9" a="1"/>
  <c r="K15" i="17" a="1"/>
  <c r="F12" i="14" a="1"/>
  <c r="J17" i="8" a="1"/>
  <c r="K19" i="17" a="1"/>
  <c r="K14" i="16" a="1"/>
  <c r="J12" i="7" a="1"/>
  <c r="K9" i="12" a="1"/>
  <c r="F23" i="17" a="1"/>
  <c r="J12" i="6" a="1"/>
  <c r="I14" i="17" a="1"/>
  <c r="F8" i="5" a="1"/>
  <c r="I21" i="15" a="1"/>
  <c r="F13" i="7" a="1"/>
  <c r="H9" i="17" a="1"/>
  <c r="H7" i="8" a="1"/>
  <c r="I8" i="19" a="1"/>
  <c r="F12" i="18" a="1"/>
  <c r="K20" i="14" a="1"/>
  <c r="J8" i="9" a="1"/>
  <c r="G7" i="17" a="1"/>
  <c r="F6" i="12" a="1"/>
  <c r="G19" i="19" a="1"/>
  <c r="H16" i="3" a="1"/>
  <c r="K22" i="14" a="1"/>
  <c r="J7" i="8" a="1"/>
  <c r="J9" i="17" a="1"/>
  <c r="J10" i="10" a="1"/>
  <c r="F21" i="14" a="1"/>
  <c r="G7" i="5" a="1"/>
  <c r="H14" i="16" a="1"/>
  <c r="F32" i="16" a="1"/>
  <c r="J6" i="12" a="1"/>
  <c r="J16" i="17" a="1"/>
  <c r="H20" i="17" a="1"/>
  <c r="J19" i="14" a="1"/>
  <c r="F17" i="20" a="1"/>
  <c r="K12" i="7" a="1"/>
  <c r="G11" i="19" a="1"/>
  <c r="F8" i="17" a="1"/>
  <c r="H17" i="15" a="1"/>
  <c r="F21" i="16" a="1"/>
  <c r="F19" i="7" a="1"/>
  <c r="H18" i="17" a="1"/>
  <c r="J26" i="14" a="1"/>
  <c r="F4" i="11" a="1"/>
  <c r="F11" i="9" a="1"/>
  <c r="H22" i="16" a="1"/>
  <c r="J24" i="14" a="1"/>
  <c r="F6" i="8" a="1"/>
  <c r="H15" i="3" a="1"/>
  <c r="F8" i="6" a="1"/>
  <c r="I22" i="15" a="1"/>
  <c r="I18" i="14" a="1"/>
  <c r="G10" i="19" a="1"/>
  <c r="G7" i="13" a="1"/>
  <c r="I4" i="17" a="1"/>
  <c r="G16" i="14" a="1"/>
  <c r="H15" i="17" a="1"/>
  <c r="G10" i="6" a="1"/>
  <c r="I13" i="16" a="1"/>
  <c r="G20" i="16" a="1"/>
  <c r="H19" i="6" a="1"/>
  <c r="K30" i="16" a="1"/>
  <c r="F16" i="7" a="1"/>
  <c r="J8" i="11" a="1"/>
  <c r="F4" i="6" a="1"/>
  <c r="K7" i="6" a="1"/>
  <c r="G8" i="16" a="1"/>
  <c r="K18" i="8" a="1"/>
  <c r="F13" i="9" a="1"/>
  <c r="H10" i="17" a="1"/>
  <c r="I7" i="15" a="1"/>
  <c r="H9" i="3" a="1"/>
  <c r="I13" i="8" a="1"/>
  <c r="J10" i="19" a="1"/>
  <c r="F16" i="17" a="1"/>
  <c r="K21" i="15" a="1"/>
  <c r="F20" i="15" a="1"/>
  <c r="K10" i="12" a="1"/>
  <c r="H13" i="15" a="1"/>
  <c r="J17" i="15" a="1"/>
  <c r="G23" i="6" a="1"/>
  <c r="J13" i="16" a="1"/>
  <c r="F18" i="14" a="1"/>
  <c r="I6" i="10" a="1"/>
  <c r="F6" i="3" a="1"/>
  <c r="F11" i="12" a="1"/>
  <c r="F8" i="4" a="1"/>
  <c r="H24" i="16" a="1"/>
  <c r="K6" i="19" a="1"/>
  <c r="G7" i="11" a="1"/>
  <c r="I22" i="6" a="1"/>
  <c r="K21" i="16" a="1"/>
  <c r="K6" i="7" a="1"/>
  <c r="H15" i="19" a="1"/>
  <c r="F22" i="18" a="1"/>
  <c r="I9" i="14" a="1"/>
  <c r="F7" i="13" a="1"/>
  <c r="I19" i="8" a="1"/>
  <c r="G22" i="17" a="1"/>
  <c r="K19" i="19" a="1"/>
  <c r="H8" i="10" a="1"/>
  <c r="F9" i="10" a="1"/>
  <c r="G9" i="4" a="1"/>
  <c r="H8" i="16" a="1"/>
  <c r="F8" i="10" a="1"/>
  <c r="H10" i="12" a="1"/>
  <c r="K16" i="19" a="1"/>
  <c r="G11" i="3" a="1"/>
  <c r="G11" i="5" a="1"/>
  <c r="J17" i="19" a="1"/>
  <c r="K8" i="9" a="1"/>
  <c r="G26" i="16" a="1"/>
  <c r="I11" i="19" a="1"/>
  <c r="I20" i="14" a="1"/>
  <c r="I8" i="7" a="1"/>
  <c r="F24" i="14" a="1"/>
  <c r="K22" i="6" a="1"/>
  <c r="K11" i="15" a="1"/>
  <c r="G12" i="3" a="1"/>
  <c r="H15" i="14" a="1"/>
  <c r="F8" i="12" a="1"/>
  <c r="H21" i="15" a="1"/>
  <c r="F13" i="18" a="1"/>
  <c r="H13" i="8" a="1"/>
  <c r="H25" i="17" a="1"/>
  <c r="F7" i="21" a="1"/>
  <c r="H12" i="14" a="1"/>
  <c r="F25" i="14" a="1"/>
  <c r="J12" i="15" a="1"/>
  <c r="K24" i="17" a="1"/>
  <c r="I11" i="12" a="1"/>
  <c r="F13" i="4" a="1"/>
  <c r="H9" i="6" a="1"/>
  <c r="J14" i="16" a="1"/>
  <c r="F30" i="16" a="1"/>
  <c r="G22" i="14" a="1"/>
  <c r="F5" i="5" a="1"/>
  <c r="F6" i="6" a="1"/>
  <c r="G6" i="6" a="1"/>
  <c r="G7" i="14" a="1"/>
  <c r="F7" i="12" a="1"/>
  <c r="K25" i="14" a="1"/>
  <c r="F28" i="16" a="1"/>
  <c r="K15" i="7" a="1"/>
  <c r="H16" i="17" a="1"/>
  <c r="F5" i="13" a="1"/>
  <c r="F5" i="14" a="1"/>
  <c r="I13" i="14" a="1"/>
  <c r="K32" i="16" a="1"/>
  <c r="G12" i="8" a="1"/>
  <c r="F19" i="19" a="1"/>
  <c r="I10" i="15" a="1"/>
  <c r="H11" i="4" a="1"/>
  <c r="H15" i="16" a="1"/>
  <c r="F8" i="16" a="1"/>
  <c r="K15" i="9" a="1"/>
  <c r="K12" i="19" a="1"/>
  <c r="H13" i="6" a="1"/>
  <c r="I19" i="15" a="1"/>
  <c r="K26" i="16" a="1"/>
  <c r="J14" i="7" a="1"/>
  <c r="G17" i="19" a="1"/>
  <c r="F20" i="20" a="1"/>
  <c r="I29" i="14" a="1"/>
  <c r="F19" i="6" a="1"/>
  <c r="H9" i="8" a="1"/>
  <c r="K9" i="16" a="1"/>
  <c r="F31" i="16" a="1"/>
  <c r="I22" i="16" a="1"/>
  <c r="J10" i="16" a="1"/>
  <c r="I20" i="7" a="1"/>
  <c r="H24" i="14" a="1"/>
  <c r="F12" i="15" a="1"/>
  <c r="K21" i="6" a="1"/>
  <c r="I32" i="16" a="1"/>
  <c r="G15" i="15" a="1"/>
  <c r="J7" i="19" a="1"/>
  <c r="J7" i="9" a="1"/>
  <c r="F7" i="5" a="1"/>
  <c r="F20" i="21" a="1"/>
  <c r="K6" i="15" a="1"/>
  <c r="H6" i="19" a="1"/>
  <c r="J18" i="7" a="1"/>
  <c r="F23" i="18" a="1"/>
  <c r="K11" i="8" a="1"/>
  <c r="K13" i="17" a="1"/>
  <c r="F5" i="19" a="1"/>
  <c r="I23" i="14" a="1"/>
  <c r="G15" i="17" a="1"/>
  <c r="H19" i="19" a="1"/>
  <c r="G10" i="9" a="1"/>
  <c r="J14" i="17" a="1"/>
  <c r="F21" i="21" a="1"/>
  <c r="G17" i="9" a="1"/>
  <c r="F12" i="4" a="1"/>
  <c r="K6" i="11" a="1"/>
  <c r="J7" i="17" a="1"/>
  <c r="G15" i="3" a="1"/>
  <c r="J18" i="15" a="1"/>
  <c r="I18" i="19" a="1"/>
  <c r="G8" i="9" a="1"/>
  <c r="G16" i="17" a="1"/>
  <c r="F5" i="16" a="1"/>
  <c r="I25" i="17" a="1"/>
  <c r="I11" i="8" a="1"/>
  <c r="J19" i="19" a="1"/>
  <c r="F6" i="10" a="1"/>
  <c r="K19" i="14" a="1"/>
  <c r="F17" i="17" a="1"/>
  <c r="K8" i="8" a="1"/>
  <c r="I23" i="17" a="1"/>
  <c r="H22" i="17" a="1"/>
  <c r="G19" i="17" a="1"/>
  <c r="J14" i="8" a="1"/>
  <c r="F15" i="8" a="1"/>
  <c r="J9" i="10" a="1"/>
  <c r="K11" i="19" a="1"/>
  <c r="H17" i="17" a="1"/>
  <c r="F6" i="18" a="1"/>
  <c r="K26" i="17" a="1"/>
  <c r="J13" i="19" a="1"/>
  <c r="J9" i="9" a="1"/>
  <c r="H24" i="15" a="1"/>
  <c r="G12" i="5" a="1"/>
  <c r="F7" i="17" a="1"/>
  <c r="I9" i="12" a="1"/>
  <c r="F4" i="21" a="1"/>
  <c r="J6" i="14" a="1"/>
  <c r="F26" i="16" a="1"/>
  <c r="I13" i="7" a="1"/>
  <c r="J30" i="16" a="1"/>
  <c r="F10" i="17" a="1"/>
  <c r="J11" i="12" a="1"/>
  <c r="H16" i="15" a="1"/>
  <c r="H13" i="3" a="1"/>
  <c r="H25" i="16" a="1"/>
  <c r="F9" i="12" a="1"/>
  <c r="I17" i="9" a="1"/>
  <c r="J15" i="19" a="1"/>
  <c r="G20" i="6" a="1"/>
  <c r="H18" i="15" a="1"/>
  <c r="J20" i="15" a="1"/>
  <c r="G7" i="10" a="1"/>
  <c r="G16" i="15" a="1"/>
  <c r="F7" i="20" a="1"/>
  <c r="H10" i="9" a="1"/>
  <c r="H21" i="19" a="1"/>
  <c r="F18" i="21" a="1"/>
  <c r="K21" i="14" a="1"/>
  <c r="H11" i="5" a="1"/>
  <c r="J28" i="16" a="1"/>
  <c r="H15" i="7" a="1"/>
  <c r="I21" i="17" a="1"/>
  <c r="F4" i="13" a="1"/>
  <c r="H8" i="14" a="1"/>
  <c r="J13" i="7" a="1"/>
  <c r="H7" i="3" a="1"/>
  <c r="J5" i="17" a="1"/>
  <c r="J22" i="6" a="1"/>
  <c r="G29" i="16" a="1"/>
  <c r="I12" i="19" a="1"/>
  <c r="K17" i="9" a="1"/>
  <c r="I16" i="15" a="1"/>
  <c r="K10" i="6" a="1"/>
  <c r="F6" i="11" a="1"/>
  <c r="H20" i="8" a="1"/>
  <c r="G17" i="17" a="1"/>
  <c r="F26" i="18" a="1"/>
  <c r="G21" i="14" a="1"/>
  <c r="I16" i="16" a="1"/>
  <c r="K16" i="6" a="1"/>
  <c r="I12" i="8" a="1"/>
  <c r="K7" i="16" a="1"/>
  <c r="K17" i="15" a="1"/>
  <c r="G14" i="6" a="1"/>
  <c r="J12" i="16" a="1"/>
  <c r="F9" i="19" a="1"/>
  <c r="K6" i="10" a="1"/>
  <c r="F11" i="19" a="1"/>
  <c r="J15" i="6" a="1"/>
  <c r="K19" i="15" a="1"/>
  <c r="K7" i="8" a="1"/>
  <c r="I7" i="13" a="1"/>
  <c r="I13" i="6" a="1"/>
  <c r="F7" i="8" a="1"/>
  <c r="K16" i="7" a="1"/>
  <c r="K8" i="16" a="1"/>
  <c r="K13" i="15" a="1"/>
  <c r="F9" i="15" a="1"/>
  <c r="G11" i="17" a="1"/>
  <c r="J22" i="16" a="1"/>
  <c r="H18" i="7" a="1"/>
  <c r="K8" i="11" a="1"/>
  <c r="F13" i="17" a="1"/>
  <c r="I21" i="6" a="1"/>
  <c r="I8" i="8" a="1"/>
  <c r="F8" i="14" a="1"/>
  <c r="K10" i="9" a="1"/>
  <c r="I6" i="19" a="1"/>
  <c r="F5" i="21" a="1"/>
  <c r="G14" i="15" a="1"/>
  <c r="K9" i="17" a="1"/>
  <c r="I15" i="8" a="1"/>
  <c r="G7" i="12" a="1"/>
  <c r="F6" i="14" a="1"/>
  <c r="I10" i="14" a="1"/>
  <c r="F23" i="14" a="1"/>
  <c r="H13" i="7" a="1"/>
  <c r="J31" i="16" a="1"/>
  <c r="F5" i="11" a="1"/>
  <c r="G11" i="12" a="1"/>
  <c r="J10" i="8" a="1"/>
  <c r="H14" i="2" a="1"/>
  <c r="H8" i="11" a="1"/>
  <c r="F18" i="7" a="1"/>
  <c r="K11" i="6" a="1"/>
  <c r="H6" i="16" a="1"/>
  <c r="K7" i="19" a="1"/>
  <c r="I7" i="10" a="1"/>
  <c r="F11" i="6" a="1"/>
  <c r="K13" i="14" a="1"/>
  <c r="F18" i="20" a="1"/>
  <c r="G13" i="16" a="1"/>
  <c r="F11" i="5" a="1"/>
  <c r="G6" i="9" a="1"/>
  <c r="J12" i="19" a="1"/>
  <c r="F22" i="14" a="1"/>
  <c r="G26" i="17" a="1"/>
  <c r="F23" i="20" a="1"/>
  <c r="H20" i="14" a="1"/>
  <c r="I15" i="16" a="1"/>
  <c r="I7" i="7" a="1"/>
  <c r="J9" i="12" a="1"/>
  <c r="J25" i="14" a="1"/>
  <c r="F28" i="20" a="1"/>
  <c r="J21" i="15" a="1"/>
  <c r="F8" i="2" a="1"/>
  <c r="J12" i="8" a="1"/>
  <c r="G7" i="19" a="1"/>
  <c r="H15" i="2" a="1"/>
  <c r="F21" i="17" a="1"/>
  <c r="J17" i="16" a="1"/>
  <c r="F11" i="10" a="1"/>
  <c r="J8" i="13" a="1"/>
  <c r="H13" i="16" a="1"/>
  <c r="J23" i="6" a="1"/>
  <c r="K11" i="10" a="1"/>
  <c r="F18" i="19" a="1"/>
  <c r="K6" i="9" a="1"/>
  <c r="G10" i="14" a="1"/>
  <c r="F15" i="21" a="1"/>
  <c r="G8" i="3" a="1"/>
  <c r="F14" i="17" a="1"/>
  <c r="G8" i="8" a="1"/>
  <c r="F12" i="17" a="1"/>
  <c r="G4" i="17" a="1"/>
  <c r="G21" i="6" a="1"/>
  <c r="G21" i="16" a="1"/>
  <c r="F9" i="18" a="1"/>
  <c r="G20" i="8" a="1"/>
  <c r="F16" i="15" a="1"/>
  <c r="G15" i="8" a="1"/>
  <c r="F5" i="20" a="1"/>
  <c r="J8" i="8" a="1"/>
  <c r="G9" i="10" a="1"/>
  <c r="I7" i="8" a="1"/>
  <c r="G9" i="14" a="1"/>
  <c r="K8" i="15" a="1"/>
  <c r="G9" i="9" a="1"/>
  <c r="F20" i="16" a="1"/>
  <c r="I8" i="10" a="1"/>
  <c r="K15" i="8" a="1"/>
  <c r="I26" i="17" a="1"/>
  <c r="I17" i="8" a="1"/>
  <c r="F11" i="4" a="1"/>
  <c r="I10" i="17" a="1"/>
  <c r="G17" i="2" a="1"/>
  <c r="F13" i="8" a="1"/>
  <c r="J12" i="17" a="1"/>
  <c r="F5" i="4" a="1"/>
  <c r="H26" i="16" a="1"/>
  <c r="I15" i="17" a="1"/>
  <c r="F15" i="18" a="1"/>
  <c r="F11" i="2" a="1"/>
  <c r="H20" i="7" a="1"/>
  <c r="G23" i="15" a="1"/>
  <c r="F10" i="18" a="1"/>
  <c r="J7" i="11" a="1"/>
  <c r="G24" i="16" a="1"/>
  <c r="F14" i="14" a="1"/>
  <c r="F11" i="3" a="1"/>
  <c r="G24" i="14" a="1"/>
  <c r="G8" i="5" a="1"/>
  <c r="F15" i="9" a="1"/>
  <c r="J19" i="17" a="1"/>
  <c r="F24" i="18" a="1"/>
  <c r="H25" i="14" a="1"/>
  <c r="K14" i="19" a="1"/>
  <c r="H9" i="5" a="1"/>
  <c r="J13" i="14" a="1"/>
  <c r="I18" i="15" a="1"/>
  <c r="F13" i="16" a="1"/>
  <c r="F7" i="16" a="1"/>
  <c r="I11" i="7" a="1"/>
  <c r="G17" i="6" a="1"/>
  <c r="K14" i="8" a="1"/>
  <c r="J13" i="6" a="1"/>
  <c r="H7" i="16" a="1"/>
  <c r="K7" i="12" a="1"/>
  <c r="H14" i="6" a="1"/>
  <c r="J7" i="7" a="1"/>
  <c r="K26" i="14" a="1"/>
  <c r="F28" i="14" a="1"/>
  <c r="K20" i="19" a="1"/>
  <c r="F19" i="17" a="1"/>
  <c r="F13" i="3" a="1"/>
  <c r="F19" i="14" a="1"/>
  <c r="F16" i="3" a="1"/>
  <c r="F20" i="19" a="1"/>
  <c r="K9" i="9" a="1"/>
  <c r="I23" i="15" a="1"/>
  <c r="F7" i="14" a="1"/>
  <c r="H16" i="7" a="1"/>
  <c r="F17" i="18" a="1"/>
  <c r="F11" i="8" a="1"/>
  <c r="J12" i="9" a="1"/>
  <c r="F4" i="10" a="1"/>
  <c r="H14" i="17" a="1"/>
  <c r="I6" i="15" a="1"/>
  <c r="H11" i="8" a="1"/>
  <c r="H21" i="17" a="1"/>
  <c r="H18" i="19" a="1"/>
  <c r="G7" i="15" a="1"/>
  <c r="F6" i="9" a="1"/>
  <c r="H12" i="6" a="1"/>
  <c r="J6" i="10" a="1"/>
  <c r="F23" i="6" a="1"/>
  <c r="H14" i="7" a="1"/>
  <c r="K20" i="6" a="1"/>
  <c r="I6" i="13" a="1"/>
  <c r="F26" i="14" a="1"/>
  <c r="K11" i="12" a="1"/>
  <c r="J13" i="15" a="1"/>
  <c r="J24" i="15" a="1"/>
  <c r="H10" i="16" a="1"/>
  <c r="H7" i="11" a="1"/>
  <c r="K8" i="17" a="1"/>
  <c r="F8" i="3" a="1"/>
  <c r="K7" i="10" a="1"/>
  <c r="K15" i="15" a="1"/>
  <c r="K10" i="7" a="1"/>
  <c r="F15" i="19" a="1"/>
  <c r="H15" i="6" a="1"/>
  <c r="I17" i="17" a="1"/>
  <c r="K6" i="16" a="1"/>
  <c r="K12" i="15" a="1"/>
  <c r="F9" i="8" a="1"/>
  <c r="H15" i="8" a="1"/>
  <c r="G29" i="14" a="1"/>
  <c r="F7" i="6" a="1"/>
  <c r="H12" i="7" a="1"/>
  <c r="J20" i="16" a="1"/>
  <c r="K8" i="19" a="1"/>
  <c r="F5" i="17" a="1"/>
  <c r="J17" i="9" a="1"/>
  <c r="G9" i="15" a="1"/>
  <c r="I11" i="10" a="1"/>
  <c r="K9" i="6" a="1"/>
  <c r="F22" i="21" a="1"/>
  <c r="K15" i="14" a="1"/>
  <c r="K23" i="17" a="1"/>
  <c r="G26" i="14" a="1"/>
  <c r="F11" i="17" a="1"/>
  <c r="G11" i="4" a="1"/>
  <c r="F21" i="20" a="1"/>
  <c r="I14" i="7" a="1"/>
  <c r="H6" i="8" a="1"/>
  <c r="I12" i="17" a="1"/>
  <c r="F26" i="17" a="1"/>
  <c r="F12" i="5" a="1"/>
  <c r="I14" i="15" a="1"/>
  <c r="H23" i="16" a="1"/>
  <c r="J10" i="15" a="1"/>
  <c r="G14" i="7" a="1"/>
  <c r="H26" i="17" a="1"/>
  <c r="J21" i="16" a="1"/>
  <c r="K16" i="14" a="1"/>
  <c r="F5" i="12" a="1"/>
  <c r="F20" i="17" a="1"/>
  <c r="F6" i="16" a="1"/>
  <c r="G18" i="6" a="1"/>
  <c r="H17" i="19" a="1"/>
  <c r="F10" i="7" a="1"/>
  <c r="K12" i="9" a="1"/>
  <c r="J7" i="13" a="1"/>
  <c r="F4" i="18" a="1"/>
  <c r="J15" i="15" a="1"/>
  <c r="F9" i="3" a="1"/>
  <c r="I10" i="8" a="1"/>
  <c r="G13" i="9" a="1"/>
  <c r="H12" i="4" a="1"/>
  <c r="F8" i="19" a="1"/>
  <c r="F11" i="16" a="1"/>
  <c r="F8" i="9" a="1"/>
  <c r="F17" i="9" a="1"/>
  <c r="I19" i="19" a="1"/>
  <c r="J17" i="6" a="1"/>
  <c r="G9" i="16" a="1"/>
  <c r="K6" i="8" a="1"/>
  <c r="H11" i="19" a="1"/>
  <c r="J23" i="17" a="1"/>
  <c r="F8" i="11" a="1"/>
  <c r="G5" i="2" a="1"/>
  <c r="K14" i="15" a="1"/>
  <c r="G8" i="13" a="1"/>
  <c r="K8" i="14" a="1"/>
  <c r="J6" i="19" a="1"/>
  <c r="J26" i="16" a="1"/>
  <c r="J8" i="6" a="1"/>
  <c r="K19" i="8" a="1"/>
  <c r="F4" i="15" a="1"/>
  <c r="G25" i="14" a="1"/>
  <c r="H14" i="15" a="1"/>
  <c r="H14" i="8" a="1"/>
  <c r="I25" i="16" a="1"/>
  <c r="F12" i="8" a="1"/>
  <c r="H18" i="8" a="1"/>
  <c r="I12" i="14" a="1"/>
  <c r="H17" i="14" a="1"/>
  <c r="G15" i="19" a="1"/>
  <c r="I6" i="7" a="1"/>
  <c r="I10" i="6" a="1"/>
  <c r="F18" i="15" a="1"/>
  <c r="J15" i="8" a="1"/>
  <c r="K11" i="7" a="1"/>
  <c r="G5" i="17" a="1"/>
  <c r="K18" i="6" a="1"/>
  <c r="I23" i="6" a="1"/>
  <c r="H21" i="6" a="1"/>
  <c r="F25" i="20" a="1"/>
  <c r="I24" i="16" a="1"/>
  <c r="G9" i="19" a="1"/>
  <c r="K9" i="7" a="1"/>
  <c r="F10" i="21" a="1"/>
  <c r="H18" i="2" a="1"/>
  <c r="I9" i="6" a="1"/>
  <c r="F13" i="14" a="1"/>
  <c r="K13" i="8" a="1"/>
  <c r="K7" i="11" a="1"/>
  <c r="G13" i="3" a="1"/>
  <c r="K10" i="14" a="1"/>
  <c r="F6" i="7" a="1"/>
  <c r="G13" i="6" a="1"/>
  <c r="F15" i="3" a="1"/>
  <c r="F6" i="2" a="1"/>
  <c r="G10" i="16" a="1"/>
  <c r="G17" i="15" a="1"/>
  <c r="F8" i="20" a="1"/>
  <c r="J12" i="14" a="1"/>
  <c r="K6" i="14" a="1"/>
  <c r="G8" i="19" a="1"/>
  <c r="G15" i="14" a="1"/>
  <c r="H16" i="19" a="1"/>
  <c r="J17" i="17" a="1"/>
  <c r="J13" i="9" a="1"/>
  <c r="I20" i="6" a="1"/>
  <c r="K13" i="16" a="1"/>
  <c r="F7" i="11" a="1"/>
  <c r="H9" i="9" a="1"/>
  <c r="F10" i="16" a="1"/>
  <c r="G16" i="7" a="1"/>
  <c r="G6" i="17" a="1"/>
  <c r="I9" i="9" a="1"/>
  <c r="I28" i="14" a="1"/>
  <c r="J18" i="16" a="1"/>
  <c r="F18" i="17" a="1"/>
  <c r="J15" i="17" a="1"/>
  <c r="F7" i="19" a="1"/>
  <c r="K10" i="19" a="1"/>
  <c r="I8" i="15" a="1"/>
  <c r="G11" i="8" a="1"/>
  <c r="I18" i="16" a="1"/>
  <c r="K10" i="10" a="1"/>
  <c r="G10" i="4" a="1"/>
  <c r="F7" i="18" a="1"/>
  <c r="I10" i="10" a="1"/>
  <c r="K7" i="13" a="1"/>
  <c r="I17" i="14" a="1"/>
  <c r="H6" i="11" a="1"/>
  <c r="I7" i="9" a="1"/>
  <c r="F10" i="3" a="1"/>
  <c r="H9" i="4" a="1"/>
  <c r="G24" i="17" a="1"/>
  <c r="J18" i="19" a="1"/>
  <c r="H15" i="15" a="1"/>
  <c r="G8" i="11" a="1"/>
  <c r="G12" i="19" a="1"/>
  <c r="F20" i="7" a="1"/>
  <c r="H13" i="19" a="1"/>
  <c r="H27" i="16" a="1"/>
  <c r="K14" i="6" l="1"/>
  <c r="I8" i="17"/>
  <c r="H4" i="17"/>
  <c r="G5" i="17"/>
  <c r="J22" i="17"/>
  <c r="G20" i="17"/>
  <c r="I11" i="17"/>
  <c r="H19" i="17"/>
  <c r="J11" i="16"/>
  <c r="J11" i="17"/>
  <c r="G21" i="17"/>
  <c r="I4" i="17"/>
  <c r="K12" i="17"/>
  <c r="I6" i="17"/>
  <c r="H18" i="17"/>
  <c r="I5" i="17"/>
  <c r="G14" i="16"/>
  <c r="H20" i="17"/>
  <c r="K4" i="17"/>
  <c r="G25" i="17"/>
  <c r="K14" i="17"/>
  <c r="I22" i="17"/>
  <c r="I24" i="17"/>
  <c r="G4" i="17"/>
  <c r="G11" i="17"/>
  <c r="K26" i="17"/>
  <c r="H5" i="17"/>
  <c r="J25" i="17"/>
  <c r="K11" i="17"/>
  <c r="K24" i="17"/>
  <c r="H10" i="17"/>
  <c r="K19" i="17"/>
  <c r="G23" i="17"/>
  <c r="G18" i="17"/>
  <c r="H11" i="17"/>
  <c r="J14" i="17"/>
  <c r="J5" i="17"/>
  <c r="J4" i="17"/>
  <c r="J19" i="17"/>
  <c r="J18" i="17"/>
  <c r="J15" i="17"/>
  <c r="J23" i="17"/>
  <c r="J24" i="17"/>
  <c r="J6" i="17"/>
  <c r="J8" i="17"/>
  <c r="J9" i="17"/>
  <c r="J16" i="17"/>
  <c r="J13" i="17"/>
  <c r="J26" i="17"/>
  <c r="J20" i="17"/>
  <c r="J17" i="17"/>
  <c r="J21" i="17"/>
  <c r="J7" i="17"/>
  <c r="J10" i="17"/>
  <c r="J12" i="17"/>
  <c r="K18" i="19"/>
  <c r="K12" i="19"/>
  <c r="K7" i="19"/>
  <c r="K9" i="19"/>
  <c r="K11" i="19"/>
  <c r="K6" i="19"/>
  <c r="K17" i="19"/>
  <c r="K8" i="19"/>
  <c r="K15" i="19"/>
  <c r="K19" i="19"/>
  <c r="K16" i="19"/>
  <c r="K20" i="19"/>
  <c r="K13" i="19"/>
  <c r="K10" i="19"/>
  <c r="K14" i="19"/>
  <c r="J16" i="19"/>
  <c r="J7" i="19"/>
  <c r="J9" i="19"/>
  <c r="J11" i="19"/>
  <c r="J12" i="19"/>
  <c r="J15" i="19"/>
  <c r="J8" i="19"/>
  <c r="J10" i="19"/>
  <c r="J21" i="19"/>
  <c r="J20" i="19"/>
  <c r="J19" i="19"/>
  <c r="J6" i="19"/>
  <c r="J13" i="19"/>
  <c r="J17" i="19"/>
  <c r="J14" i="19"/>
  <c r="J18" i="19"/>
  <c r="I15" i="19"/>
  <c r="I20" i="19"/>
  <c r="I16" i="19"/>
  <c r="I18" i="19"/>
  <c r="I9" i="19"/>
  <c r="I11" i="19"/>
  <c r="I12" i="19"/>
  <c r="I17" i="19"/>
  <c r="I6" i="19"/>
  <c r="I7" i="19"/>
  <c r="I8" i="19"/>
  <c r="I19" i="19"/>
  <c r="H21" i="19"/>
  <c r="H12" i="19"/>
  <c r="H15" i="19"/>
  <c r="H18" i="19"/>
  <c r="H8" i="19"/>
  <c r="H19" i="19"/>
  <c r="H14" i="19"/>
  <c r="H11" i="19"/>
  <c r="H20" i="19"/>
  <c r="H6" i="19"/>
  <c r="H10" i="19"/>
  <c r="H16" i="19"/>
  <c r="H13" i="19"/>
  <c r="H17" i="19"/>
  <c r="H7" i="19"/>
  <c r="H9" i="19"/>
  <c r="G21" i="19"/>
  <c r="G7" i="19"/>
  <c r="G9" i="19"/>
  <c r="G11" i="19"/>
  <c r="G12" i="19"/>
  <c r="G15" i="19"/>
  <c r="G17" i="19"/>
  <c r="G19" i="19"/>
  <c r="G20" i="19"/>
  <c r="G10" i="19"/>
  <c r="G6" i="19"/>
  <c r="G8" i="19"/>
  <c r="G13" i="19"/>
  <c r="G18" i="19"/>
  <c r="G14" i="19"/>
  <c r="G16" i="19"/>
  <c r="K16" i="17"/>
  <c r="K15" i="17"/>
  <c r="K9" i="17"/>
  <c r="K10" i="17"/>
  <c r="K25" i="17"/>
  <c r="K23" i="17"/>
  <c r="K17" i="17"/>
  <c r="K13" i="17"/>
  <c r="K18" i="17"/>
  <c r="K20" i="17"/>
  <c r="K8" i="17"/>
  <c r="K21" i="17"/>
  <c r="K7" i="17"/>
  <c r="K6" i="17"/>
  <c r="K22" i="17"/>
  <c r="I10" i="17"/>
  <c r="I16" i="17"/>
  <c r="I26" i="17"/>
  <c r="I15" i="17"/>
  <c r="I25" i="17"/>
  <c r="I23" i="17"/>
  <c r="I12" i="17"/>
  <c r="I14" i="17"/>
  <c r="I20" i="17"/>
  <c r="I9" i="17"/>
  <c r="I13" i="17"/>
  <c r="I17" i="17"/>
  <c r="I19" i="17"/>
  <c r="I21" i="17"/>
  <c r="I7" i="17"/>
  <c r="I18" i="17"/>
  <c r="H21" i="17"/>
  <c r="H24" i="17"/>
  <c r="H15" i="17"/>
  <c r="H26" i="17"/>
  <c r="H6" i="17"/>
  <c r="H14" i="17"/>
  <c r="H12" i="17"/>
  <c r="H23" i="17"/>
  <c r="H9" i="17"/>
  <c r="H16" i="17"/>
  <c r="H13" i="17"/>
  <c r="H22" i="17"/>
  <c r="H25" i="17"/>
  <c r="H17" i="17"/>
  <c r="H7" i="17"/>
  <c r="H8" i="17"/>
  <c r="G22" i="17"/>
  <c r="G15" i="17"/>
  <c r="G9" i="17"/>
  <c r="G16" i="17"/>
  <c r="G6" i="17"/>
  <c r="G10" i="17"/>
  <c r="G17" i="17"/>
  <c r="G13" i="17"/>
  <c r="G24" i="17"/>
  <c r="G26" i="17"/>
  <c r="G14" i="17"/>
  <c r="G8" i="17"/>
  <c r="G7" i="17"/>
  <c r="G12" i="17"/>
  <c r="G19" i="17"/>
  <c r="K13" i="16"/>
  <c r="K12" i="16"/>
  <c r="K8" i="16"/>
  <c r="K32" i="16"/>
  <c r="K30" i="16"/>
  <c r="K25" i="16"/>
  <c r="K28" i="16"/>
  <c r="K26" i="16"/>
  <c r="K9" i="16"/>
  <c r="K6" i="16"/>
  <c r="K24" i="16"/>
  <c r="K7" i="16"/>
  <c r="K31" i="16"/>
  <c r="K17" i="16"/>
  <c r="K20" i="16"/>
  <c r="K27" i="16"/>
  <c r="K15" i="16"/>
  <c r="K16" i="16"/>
  <c r="K14" i="16"/>
  <c r="K21" i="16"/>
  <c r="J13" i="16"/>
  <c r="J18" i="16"/>
  <c r="J23" i="16"/>
  <c r="J28" i="16"/>
  <c r="J6" i="16"/>
  <c r="J21" i="16"/>
  <c r="J26" i="16"/>
  <c r="J31" i="16"/>
  <c r="J9" i="16"/>
  <c r="J14" i="16"/>
  <c r="J29" i="16"/>
  <c r="J7" i="16"/>
  <c r="J12" i="16"/>
  <c r="J17" i="16"/>
  <c r="J22" i="16"/>
  <c r="J10" i="16"/>
  <c r="J15" i="16"/>
  <c r="J20" i="16"/>
  <c r="J25" i="16"/>
  <c r="J30" i="16"/>
  <c r="I13" i="16"/>
  <c r="I23" i="16"/>
  <c r="I28" i="16"/>
  <c r="I22" i="16"/>
  <c r="I21" i="16"/>
  <c r="I24" i="16"/>
  <c r="I18" i="16"/>
  <c r="I9" i="16"/>
  <c r="I6" i="16"/>
  <c r="I8" i="16"/>
  <c r="I7" i="16"/>
  <c r="I27" i="16"/>
  <c r="I17" i="16"/>
  <c r="I16" i="16"/>
  <c r="I12" i="16"/>
  <c r="I32" i="16"/>
  <c r="I15" i="16"/>
  <c r="I14" i="16"/>
  <c r="I25" i="16"/>
  <c r="I30" i="16"/>
  <c r="H13" i="16"/>
  <c r="H8" i="16"/>
  <c r="H28" i="16"/>
  <c r="H26" i="16"/>
  <c r="H25" i="16"/>
  <c r="H24" i="16"/>
  <c r="H22" i="16"/>
  <c r="H9" i="16"/>
  <c r="H27" i="16"/>
  <c r="H18" i="16"/>
  <c r="H7" i="16"/>
  <c r="H21" i="16"/>
  <c r="H17" i="16"/>
  <c r="H14" i="16"/>
  <c r="H6" i="16"/>
  <c r="H32" i="16"/>
  <c r="H15" i="16"/>
  <c r="H10" i="16"/>
  <c r="H12" i="16"/>
  <c r="H23" i="16"/>
  <c r="G13" i="16"/>
  <c r="G6" i="16"/>
  <c r="G23" i="16"/>
  <c r="G20" i="16"/>
  <c r="G8" i="16"/>
  <c r="G21" i="16"/>
  <c r="G16" i="16"/>
  <c r="G31" i="16"/>
  <c r="G9" i="16"/>
  <c r="G30" i="16"/>
  <c r="G29" i="16"/>
  <c r="G7" i="16"/>
  <c r="G26" i="16"/>
  <c r="G17" i="16"/>
  <c r="G12" i="16"/>
  <c r="G22" i="16"/>
  <c r="G15" i="16"/>
  <c r="G10" i="16"/>
  <c r="G25" i="16"/>
  <c r="G24" i="16"/>
  <c r="K13" i="15"/>
  <c r="K7" i="15"/>
  <c r="K24" i="15"/>
  <c r="K12" i="15"/>
  <c r="K10" i="15"/>
  <c r="K15" i="15"/>
  <c r="K9" i="15"/>
  <c r="K17" i="15"/>
  <c r="K19" i="15"/>
  <c r="K14" i="15"/>
  <c r="K21" i="15"/>
  <c r="K11" i="15"/>
  <c r="K20" i="15"/>
  <c r="K6" i="15"/>
  <c r="K18" i="15"/>
  <c r="K8" i="15"/>
  <c r="J13" i="15"/>
  <c r="J24" i="15"/>
  <c r="J12" i="15"/>
  <c r="J10" i="15"/>
  <c r="J15" i="15"/>
  <c r="J9" i="15"/>
  <c r="J21" i="15"/>
  <c r="J19" i="15"/>
  <c r="J16" i="15"/>
  <c r="J17" i="15"/>
  <c r="J7" i="15"/>
  <c r="J20" i="15"/>
  <c r="J6" i="15"/>
  <c r="J18" i="15"/>
  <c r="I13" i="15"/>
  <c r="I22" i="15"/>
  <c r="I24" i="15"/>
  <c r="I7" i="15"/>
  <c r="I10" i="15"/>
  <c r="I19" i="15"/>
  <c r="I16" i="15"/>
  <c r="I17" i="15"/>
  <c r="I21" i="15"/>
  <c r="I11" i="15"/>
  <c r="I23" i="15"/>
  <c r="I6" i="15"/>
  <c r="I12" i="15"/>
  <c r="I9" i="15"/>
  <c r="I14" i="15"/>
  <c r="I15" i="15"/>
  <c r="I20" i="15"/>
  <c r="I8" i="15"/>
  <c r="I18" i="15"/>
  <c r="H7" i="15"/>
  <c r="H14" i="15"/>
  <c r="H24" i="15"/>
  <c r="H21" i="15"/>
  <c r="H15" i="15"/>
  <c r="H9" i="15"/>
  <c r="H16" i="15"/>
  <c r="H18" i="15"/>
  <c r="H23" i="15"/>
  <c r="H17" i="15"/>
  <c r="H13" i="15"/>
  <c r="H10" i="15"/>
  <c r="H20" i="15"/>
  <c r="H8" i="15"/>
  <c r="G17" i="15"/>
  <c r="G7" i="15"/>
  <c r="G16" i="15"/>
  <c r="G15" i="15"/>
  <c r="G9" i="15"/>
  <c r="G13" i="15"/>
  <c r="G14" i="15"/>
  <c r="G23" i="15"/>
  <c r="K18" i="14"/>
  <c r="K21" i="14"/>
  <c r="K15" i="14"/>
  <c r="K20" i="14"/>
  <c r="K10" i="14"/>
  <c r="K7" i="14"/>
  <c r="K25" i="14"/>
  <c r="K17" i="14"/>
  <c r="K24" i="14"/>
  <c r="K13" i="14"/>
  <c r="K16" i="14"/>
  <c r="K8" i="14"/>
  <c r="K27" i="14"/>
  <c r="K26" i="14"/>
  <c r="K29" i="14"/>
  <c r="K19" i="14"/>
  <c r="K22" i="14"/>
  <c r="K9" i="14"/>
  <c r="K6" i="14"/>
  <c r="J20" i="14"/>
  <c r="J6" i="14"/>
  <c r="J17" i="14"/>
  <c r="J26" i="14"/>
  <c r="J25" i="14"/>
  <c r="J15" i="14"/>
  <c r="J22" i="14"/>
  <c r="J10" i="14"/>
  <c r="J13" i="14"/>
  <c r="J18" i="14"/>
  <c r="J8" i="14"/>
  <c r="J27" i="14"/>
  <c r="J28" i="14"/>
  <c r="J7" i="14"/>
  <c r="J29" i="14"/>
  <c r="J19" i="14"/>
  <c r="J24" i="14"/>
  <c r="J9" i="14"/>
  <c r="J12" i="14"/>
  <c r="I18" i="14"/>
  <c r="I7" i="14"/>
  <c r="I6" i="14"/>
  <c r="I17" i="14"/>
  <c r="I28" i="14"/>
  <c r="I29" i="14"/>
  <c r="I15" i="14"/>
  <c r="I24" i="14"/>
  <c r="I10" i="14"/>
  <c r="I13" i="14"/>
  <c r="I20" i="14"/>
  <c r="I8" i="14"/>
  <c r="I27" i="14"/>
  <c r="I26" i="14"/>
  <c r="I25" i="14"/>
  <c r="I23" i="14"/>
  <c r="I22" i="14"/>
  <c r="I9" i="14"/>
  <c r="I12" i="14"/>
  <c r="H8" i="14"/>
  <c r="H7" i="14"/>
  <c r="H30" i="14"/>
  <c r="H17" i="14"/>
  <c r="H14" i="14"/>
  <c r="H26" i="14"/>
  <c r="H15" i="14"/>
  <c r="H12" i="14"/>
  <c r="H25" i="14"/>
  <c r="H13" i="14"/>
  <c r="H10" i="14"/>
  <c r="H23" i="14"/>
  <c r="H28" i="14"/>
  <c r="H20" i="14"/>
  <c r="H21" i="14"/>
  <c r="H24" i="14"/>
  <c r="H16" i="14"/>
  <c r="H9" i="14"/>
  <c r="H29" i="14"/>
  <c r="G18" i="14"/>
  <c r="G7" i="14"/>
  <c r="G27" i="14"/>
  <c r="G17" i="14"/>
  <c r="G24" i="14"/>
  <c r="G21" i="14"/>
  <c r="G15" i="14"/>
  <c r="G20" i="14"/>
  <c r="G10" i="14"/>
  <c r="G13" i="14"/>
  <c r="G16" i="14"/>
  <c r="G8" i="14"/>
  <c r="G29" i="14"/>
  <c r="G26" i="14"/>
  <c r="G25" i="14"/>
  <c r="G23" i="14"/>
  <c r="G22" i="14"/>
  <c r="G9" i="14"/>
  <c r="G6" i="14"/>
  <c r="K7" i="13"/>
  <c r="K8" i="13"/>
  <c r="J7" i="13"/>
  <c r="J8" i="13"/>
  <c r="J6" i="13"/>
  <c r="I7" i="13"/>
  <c r="I8" i="13"/>
  <c r="I6" i="13"/>
  <c r="H7" i="13"/>
  <c r="H6" i="13"/>
  <c r="H8" i="13"/>
  <c r="G7" i="13"/>
  <c r="G8" i="13"/>
  <c r="G6" i="13"/>
  <c r="K10" i="12"/>
  <c r="K6" i="12"/>
  <c r="K7" i="12"/>
  <c r="K11" i="12"/>
  <c r="K9" i="12"/>
  <c r="J11" i="12"/>
  <c r="J9" i="12"/>
  <c r="J6" i="12"/>
  <c r="I10" i="12"/>
  <c r="I8" i="12"/>
  <c r="I7" i="12"/>
  <c r="I11" i="12"/>
  <c r="I9" i="12"/>
  <c r="H10" i="12"/>
  <c r="H6" i="12"/>
  <c r="H7" i="12"/>
  <c r="H11" i="12"/>
  <c r="H9" i="12"/>
  <c r="G10" i="12"/>
  <c r="G6" i="12"/>
  <c r="G7" i="12"/>
  <c r="G11" i="12"/>
  <c r="G9" i="12"/>
  <c r="K7" i="11"/>
  <c r="K8" i="11"/>
  <c r="K6" i="11"/>
  <c r="J7" i="11"/>
  <c r="J6" i="11"/>
  <c r="J8" i="11"/>
  <c r="I7" i="11"/>
  <c r="I6" i="11"/>
  <c r="I8" i="11"/>
  <c r="H6" i="11"/>
  <c r="H7" i="11"/>
  <c r="H8" i="11"/>
  <c r="G7" i="11"/>
  <c r="G6" i="11"/>
  <c r="G8" i="11"/>
  <c r="K9" i="10"/>
  <c r="K11" i="10"/>
  <c r="K10" i="10"/>
  <c r="K7" i="10"/>
  <c r="K8" i="10"/>
  <c r="K6" i="10"/>
  <c r="J8" i="10"/>
  <c r="J11" i="10"/>
  <c r="J9" i="10"/>
  <c r="J7" i="10"/>
  <c r="J10" i="10"/>
  <c r="J6" i="10"/>
  <c r="I8" i="10"/>
  <c r="I11" i="10"/>
  <c r="I9" i="10"/>
  <c r="I7" i="10"/>
  <c r="I10" i="10"/>
  <c r="I6" i="10"/>
  <c r="H11" i="10"/>
  <c r="H9" i="10"/>
  <c r="H10" i="10"/>
  <c r="H7" i="10"/>
  <c r="H8" i="10"/>
  <c r="H6" i="10"/>
  <c r="G8" i="10"/>
  <c r="G11" i="10"/>
  <c r="G9" i="10"/>
  <c r="G7" i="10"/>
  <c r="G10" i="10"/>
  <c r="G6" i="10"/>
  <c r="K17" i="9"/>
  <c r="K6" i="9"/>
  <c r="K15" i="9"/>
  <c r="K9" i="9"/>
  <c r="K7" i="9"/>
  <c r="K10" i="9"/>
  <c r="K13" i="9"/>
  <c r="K8" i="9"/>
  <c r="K12" i="9"/>
  <c r="J15" i="9"/>
  <c r="J6" i="9"/>
  <c r="J13" i="9"/>
  <c r="J9" i="9"/>
  <c r="J7" i="9"/>
  <c r="J10" i="9"/>
  <c r="J17" i="9"/>
  <c r="J8" i="9"/>
  <c r="J12" i="9"/>
  <c r="I15" i="9"/>
  <c r="I9" i="9"/>
  <c r="I12" i="9"/>
  <c r="I10" i="9"/>
  <c r="I7" i="9"/>
  <c r="I17" i="9"/>
  <c r="H13" i="9"/>
  <c r="H6" i="9"/>
  <c r="H11" i="9"/>
  <c r="H15" i="9"/>
  <c r="H9" i="9"/>
  <c r="H7" i="9"/>
  <c r="H10" i="9"/>
  <c r="H17" i="9"/>
  <c r="H8" i="9"/>
  <c r="H12" i="9"/>
  <c r="G6" i="9"/>
  <c r="G15" i="9"/>
  <c r="G9" i="9"/>
  <c r="G13" i="9"/>
  <c r="G7" i="9"/>
  <c r="G10" i="9"/>
  <c r="G17" i="9"/>
  <c r="G8" i="9"/>
  <c r="G12" i="9"/>
  <c r="K7" i="8"/>
  <c r="K19" i="8"/>
  <c r="K18" i="8"/>
  <c r="K12" i="8"/>
  <c r="K15" i="8"/>
  <c r="K9" i="8"/>
  <c r="K11" i="8"/>
  <c r="K10" i="8"/>
  <c r="K17" i="8"/>
  <c r="K6" i="8"/>
  <c r="K13" i="8"/>
  <c r="K16" i="8"/>
  <c r="K8" i="8"/>
  <c r="K14" i="8"/>
  <c r="K20" i="8"/>
  <c r="J13" i="8"/>
  <c r="J19" i="8"/>
  <c r="J20" i="8"/>
  <c r="J6" i="8"/>
  <c r="J18" i="8"/>
  <c r="J7" i="8"/>
  <c r="J12" i="8"/>
  <c r="J15" i="8"/>
  <c r="J16" i="8"/>
  <c r="J8" i="8"/>
  <c r="J9" i="8"/>
  <c r="J11" i="8"/>
  <c r="J14" i="8"/>
  <c r="J17" i="8"/>
  <c r="J10" i="8"/>
  <c r="I7" i="8"/>
  <c r="I9" i="8"/>
  <c r="I11" i="8"/>
  <c r="I8" i="8"/>
  <c r="I15" i="8"/>
  <c r="I17" i="8"/>
  <c r="I19" i="8"/>
  <c r="I12" i="8"/>
  <c r="I18" i="8"/>
  <c r="I6" i="8"/>
  <c r="I20" i="8"/>
  <c r="I13" i="8"/>
  <c r="I10" i="8"/>
  <c r="I14" i="8"/>
  <c r="I16" i="8"/>
  <c r="H13" i="8"/>
  <c r="H19" i="8"/>
  <c r="H14" i="8"/>
  <c r="H20" i="8"/>
  <c r="H12" i="8"/>
  <c r="H7" i="8"/>
  <c r="H6" i="8"/>
  <c r="H18" i="8"/>
  <c r="H15" i="8"/>
  <c r="H9" i="8"/>
  <c r="H11" i="8"/>
  <c r="H10" i="8"/>
  <c r="H8" i="8"/>
  <c r="H16" i="8"/>
  <c r="H17" i="8"/>
  <c r="G15" i="8"/>
  <c r="G6" i="8"/>
  <c r="G16" i="8"/>
  <c r="G8" i="8"/>
  <c r="G12" i="8"/>
  <c r="G9" i="8"/>
  <c r="G19" i="8"/>
  <c r="G10" i="8"/>
  <c r="G17" i="8"/>
  <c r="G20" i="8"/>
  <c r="G13" i="8"/>
  <c r="G14" i="8"/>
  <c r="G7" i="8"/>
  <c r="G11" i="8"/>
  <c r="G18" i="8"/>
  <c r="K7" i="7"/>
  <c r="K9" i="7"/>
  <c r="K13" i="7"/>
  <c r="K15" i="7"/>
  <c r="K17" i="7"/>
  <c r="K12" i="7"/>
  <c r="K16" i="7"/>
  <c r="K20" i="7"/>
  <c r="K6" i="7"/>
  <c r="K10" i="7"/>
  <c r="K14" i="7"/>
  <c r="K11" i="7"/>
  <c r="J13" i="7"/>
  <c r="J19" i="7"/>
  <c r="J8" i="7"/>
  <c r="J16" i="7"/>
  <c r="J20" i="7"/>
  <c r="J17" i="7"/>
  <c r="J12" i="7"/>
  <c r="J14" i="7"/>
  <c r="J18" i="7"/>
  <c r="J7" i="7"/>
  <c r="J9" i="7"/>
  <c r="I7" i="7"/>
  <c r="I9" i="7"/>
  <c r="I13" i="7"/>
  <c r="I15" i="7"/>
  <c r="I8" i="7"/>
  <c r="I14" i="7"/>
  <c r="I18" i="7"/>
  <c r="I20" i="7"/>
  <c r="I6" i="7"/>
  <c r="I12" i="7"/>
  <c r="I16" i="7"/>
  <c r="I11" i="7"/>
  <c r="H7" i="7"/>
  <c r="H13" i="7"/>
  <c r="H19" i="7"/>
  <c r="H8" i="7"/>
  <c r="H14" i="7"/>
  <c r="H18" i="7"/>
  <c r="H15" i="7"/>
  <c r="H12" i="7"/>
  <c r="H16" i="7"/>
  <c r="H20" i="7"/>
  <c r="H9" i="7"/>
  <c r="G15" i="7"/>
  <c r="G8" i="7"/>
  <c r="G14" i="7"/>
  <c r="G16" i="7"/>
  <c r="G13" i="7"/>
  <c r="G6" i="7"/>
  <c r="G7" i="7"/>
  <c r="K15" i="6"/>
  <c r="K8" i="6"/>
  <c r="K23" i="6"/>
  <c r="K17" i="6"/>
  <c r="K18" i="6"/>
  <c r="K10" i="6"/>
  <c r="K16" i="6"/>
  <c r="K13" i="6"/>
  <c r="K7" i="6"/>
  <c r="K20" i="6"/>
  <c r="K12" i="6"/>
  <c r="K21" i="6"/>
  <c r="K9" i="6"/>
  <c r="K22" i="6"/>
  <c r="K11" i="6"/>
  <c r="J18" i="6"/>
  <c r="J16" i="6"/>
  <c r="J13" i="6"/>
  <c r="J7" i="6"/>
  <c r="J22" i="6"/>
  <c r="J10" i="6"/>
  <c r="J8" i="6"/>
  <c r="J9" i="6"/>
  <c r="J21" i="6"/>
  <c r="J6" i="6"/>
  <c r="J15" i="6"/>
  <c r="J23" i="6"/>
  <c r="J12" i="6"/>
  <c r="J17" i="6"/>
  <c r="I21" i="6"/>
  <c r="I15" i="6"/>
  <c r="I22" i="6"/>
  <c r="I10" i="6"/>
  <c r="I23" i="6"/>
  <c r="I17" i="6"/>
  <c r="I18" i="6"/>
  <c r="I12" i="6"/>
  <c r="I6" i="6"/>
  <c r="I13" i="6"/>
  <c r="I7" i="6"/>
  <c r="I20" i="6"/>
  <c r="I14" i="6"/>
  <c r="I9" i="6"/>
  <c r="H12" i="6"/>
  <c r="H15" i="6"/>
  <c r="H13" i="6"/>
  <c r="H7" i="6"/>
  <c r="H17" i="6"/>
  <c r="H14" i="6"/>
  <c r="H16" i="6"/>
  <c r="H9" i="6"/>
  <c r="H21" i="6"/>
  <c r="H22" i="6"/>
  <c r="H19" i="6"/>
  <c r="H6" i="6"/>
  <c r="H20" i="6"/>
  <c r="H8" i="6"/>
  <c r="G23" i="6"/>
  <c r="G18" i="6"/>
  <c r="G13" i="6"/>
  <c r="G7" i="6"/>
  <c r="G20" i="6"/>
  <c r="G6" i="6"/>
  <c r="G16" i="6"/>
  <c r="G10" i="6"/>
  <c r="G15" i="6"/>
  <c r="G9" i="6"/>
  <c r="G17" i="6"/>
  <c r="G19" i="6"/>
  <c r="G14" i="6"/>
  <c r="G21" i="6"/>
  <c r="G11" i="3"/>
  <c r="G16" i="3"/>
  <c r="G9" i="3"/>
  <c r="G15" i="3"/>
  <c r="G10" i="3"/>
  <c r="G13" i="3"/>
  <c r="G8" i="3"/>
  <c r="G12" i="3"/>
  <c r="H7" i="5"/>
  <c r="H8" i="5"/>
  <c r="H9" i="5"/>
  <c r="H11" i="5"/>
  <c r="H10" i="5"/>
  <c r="G11" i="5"/>
  <c r="G8" i="5"/>
  <c r="G12" i="5"/>
  <c r="G7" i="5"/>
  <c r="G10" i="5"/>
  <c r="H11" i="4"/>
  <c r="H8" i="4"/>
  <c r="H9" i="4"/>
  <c r="H12" i="4"/>
  <c r="H7" i="4"/>
  <c r="H10" i="4"/>
  <c r="G10" i="4"/>
  <c r="G13" i="4"/>
  <c r="G7" i="4"/>
  <c r="G8" i="4"/>
  <c r="G9" i="4"/>
  <c r="G11" i="4"/>
  <c r="G12" i="4"/>
  <c r="H11" i="3"/>
  <c r="H16" i="3"/>
  <c r="H9" i="3"/>
  <c r="H13" i="3"/>
  <c r="H7" i="3"/>
  <c r="H10" i="3"/>
  <c r="H8" i="3"/>
  <c r="H15" i="3"/>
  <c r="H6" i="2"/>
  <c r="H18" i="2"/>
  <c r="H15" i="2"/>
  <c r="H14" i="2"/>
  <c r="H10" i="2"/>
  <c r="H9" i="2"/>
  <c r="H12" i="2"/>
  <c r="H5" i="2"/>
  <c r="G6" i="2"/>
  <c r="G17" i="2"/>
  <c r="G5" i="2"/>
  <c r="F12" i="5"/>
  <c r="F16" i="3"/>
  <c r="F4" i="7"/>
  <c r="F6" i="3"/>
  <c r="F4" i="8"/>
  <c r="F22" i="6"/>
  <c r="F7" i="3"/>
  <c r="B8" i="3" s="1"/>
  <c r="F5" i="5"/>
  <c r="F4" i="10"/>
  <c r="F4" i="13"/>
  <c r="F4" i="16"/>
  <c r="F23" i="18"/>
  <c r="F7" i="20"/>
  <c r="F9" i="20"/>
  <c r="F5" i="4"/>
  <c r="F8" i="5"/>
  <c r="F4" i="6"/>
  <c r="F14" i="6"/>
  <c r="F14" i="8"/>
  <c r="F5" i="9"/>
  <c r="F10" i="10"/>
  <c r="F4" i="11"/>
  <c r="F5" i="14"/>
  <c r="F14" i="14"/>
  <c r="F6" i="14"/>
  <c r="F22" i="14"/>
  <c r="F20" i="17"/>
  <c r="F24" i="17"/>
  <c r="F14" i="17"/>
  <c r="F17" i="17"/>
  <c r="F25" i="18"/>
  <c r="F26" i="18"/>
  <c r="F13" i="18"/>
  <c r="F20" i="20"/>
  <c r="F26" i="20"/>
  <c r="F22" i="20"/>
  <c r="F4" i="21"/>
  <c r="F8" i="21"/>
  <c r="F10" i="21"/>
  <c r="F11" i="21"/>
  <c r="F5" i="11"/>
  <c r="F12" i="12"/>
  <c r="F10" i="12"/>
  <c r="F4" i="17"/>
  <c r="F23" i="17"/>
  <c r="F22" i="18"/>
  <c r="F23" i="20"/>
  <c r="F15" i="20"/>
  <c r="F5" i="3"/>
  <c r="F6" i="5"/>
  <c r="F18" i="6"/>
  <c r="F10" i="6"/>
  <c r="F19" i="8"/>
  <c r="F10" i="8"/>
  <c r="F14" i="9"/>
  <c r="F6" i="9"/>
  <c r="F10" i="9"/>
  <c r="F5" i="10"/>
  <c r="F8" i="11"/>
  <c r="F5" i="12"/>
  <c r="F7" i="12"/>
  <c r="F6" i="13"/>
  <c r="F10" i="14"/>
  <c r="F25" i="17"/>
  <c r="F10" i="17"/>
  <c r="F7" i="17"/>
  <c r="F8" i="17"/>
  <c r="F15" i="18"/>
  <c r="F18" i="18"/>
  <c r="F12" i="18"/>
  <c r="F4" i="20"/>
  <c r="F9" i="21"/>
  <c r="F4" i="15"/>
  <c r="F24" i="18"/>
  <c r="F8" i="3"/>
  <c r="F6" i="4"/>
  <c r="F5" i="6"/>
  <c r="F6" i="6"/>
  <c r="F5" i="7"/>
  <c r="F5" i="8"/>
  <c r="F4" i="9"/>
  <c r="F6" i="10"/>
  <c r="F6" i="11"/>
  <c r="F4" i="12"/>
  <c r="F8" i="12"/>
  <c r="F6" i="12"/>
  <c r="F11" i="12"/>
  <c r="F5" i="13"/>
  <c r="F4" i="14"/>
  <c r="F5" i="15"/>
  <c r="F5" i="16"/>
  <c r="F5" i="17"/>
  <c r="F20" i="18"/>
  <c r="F6" i="20"/>
  <c r="F29" i="20"/>
  <c r="F10" i="20"/>
  <c r="F6" i="17"/>
  <c r="F12" i="17"/>
  <c r="F6" i="18"/>
  <c r="F19" i="18"/>
  <c r="F14" i="18"/>
  <c r="F16" i="18"/>
  <c r="F17" i="18"/>
  <c r="F5" i="19"/>
  <c r="F14" i="19"/>
  <c r="F24" i="20"/>
  <c r="F16" i="20"/>
  <c r="F11" i="20"/>
  <c r="F13" i="20"/>
  <c r="F16" i="21"/>
  <c r="F13" i="21"/>
  <c r="F14" i="21"/>
  <c r="F11" i="17"/>
  <c r="F19" i="17"/>
  <c r="F16" i="17"/>
  <c r="F7" i="18"/>
  <c r="F5" i="18"/>
  <c r="F20" i="19"/>
  <c r="F10" i="19"/>
  <c r="F17" i="20"/>
  <c r="F28" i="20"/>
  <c r="F8" i="20"/>
  <c r="F22" i="21"/>
  <c r="F19" i="21"/>
  <c r="F7" i="21"/>
  <c r="F23" i="21"/>
  <c r="F17" i="21"/>
  <c r="F18" i="21"/>
  <c r="F12" i="21"/>
  <c r="F21" i="21"/>
  <c r="F26" i="17"/>
  <c r="F15" i="17"/>
  <c r="F22" i="17"/>
  <c r="F4" i="18"/>
  <c r="F10" i="18"/>
  <c r="F21" i="18"/>
  <c r="F11" i="18"/>
  <c r="F8" i="18"/>
  <c r="F27" i="18"/>
  <c r="F9" i="18"/>
  <c r="F4" i="19"/>
  <c r="F6" i="19"/>
  <c r="F27" i="20"/>
  <c r="F21" i="20"/>
  <c r="F18" i="20"/>
  <c r="F12" i="20"/>
  <c r="F14" i="20"/>
  <c r="F19" i="20"/>
  <c r="F25" i="20"/>
  <c r="F5" i="20"/>
  <c r="F15" i="21"/>
  <c r="F5" i="21"/>
  <c r="F6" i="21"/>
  <c r="F20" i="21"/>
  <c r="F9" i="19"/>
  <c r="F21" i="19"/>
  <c r="F12" i="19"/>
  <c r="F11" i="19"/>
  <c r="F18" i="19"/>
  <c r="F8" i="19"/>
  <c r="F19" i="19"/>
  <c r="F7" i="19"/>
  <c r="F17" i="19"/>
  <c r="F13" i="19"/>
  <c r="F16" i="19"/>
  <c r="F15" i="19"/>
  <c r="F21" i="17"/>
  <c r="F9" i="17"/>
  <c r="F13" i="17"/>
  <c r="F18" i="17"/>
  <c r="F27" i="16"/>
  <c r="F8" i="16"/>
  <c r="F29" i="16"/>
  <c r="F15" i="16"/>
  <c r="F13" i="16"/>
  <c r="F24" i="16"/>
  <c r="F18" i="16"/>
  <c r="F28" i="16"/>
  <c r="F31" i="16"/>
  <c r="F7" i="16"/>
  <c r="F16" i="16"/>
  <c r="F6" i="16"/>
  <c r="F20" i="16"/>
  <c r="F14" i="16"/>
  <c r="F9" i="16"/>
  <c r="F25" i="16"/>
  <c r="F19" i="16"/>
  <c r="F32" i="16"/>
  <c r="F30" i="16"/>
  <c r="F23" i="16"/>
  <c r="F17" i="16"/>
  <c r="F22" i="16"/>
  <c r="F21" i="16"/>
  <c r="F10" i="16"/>
  <c r="F12" i="16"/>
  <c r="F11" i="16"/>
  <c r="F26" i="16"/>
  <c r="F17" i="15"/>
  <c r="F18" i="15"/>
  <c r="F8" i="15"/>
  <c r="F22" i="15"/>
  <c r="F14" i="15"/>
  <c r="F11" i="15"/>
  <c r="F10" i="15"/>
  <c r="F13" i="15"/>
  <c r="F19" i="15"/>
  <c r="F7" i="15"/>
  <c r="F20" i="15"/>
  <c r="F9" i="15"/>
  <c r="F24" i="15"/>
  <c r="F16" i="15"/>
  <c r="F6" i="15"/>
  <c r="F23" i="15"/>
  <c r="F12" i="15"/>
  <c r="F21" i="15"/>
  <c r="F15" i="15"/>
  <c r="F17" i="14"/>
  <c r="F30" i="14"/>
  <c r="F8" i="14"/>
  <c r="F26" i="14"/>
  <c r="F28" i="14"/>
  <c r="F25" i="14"/>
  <c r="F23" i="14"/>
  <c r="F24" i="14"/>
  <c r="F18" i="14"/>
  <c r="F15" i="14"/>
  <c r="F29" i="14"/>
  <c r="F27" i="14"/>
  <c r="F13" i="14"/>
  <c r="F9" i="14"/>
  <c r="F16" i="14"/>
  <c r="F11" i="14"/>
  <c r="F21" i="14"/>
  <c r="F12" i="14"/>
  <c r="F19" i="14"/>
  <c r="F7" i="14"/>
  <c r="F20" i="14"/>
  <c r="F8" i="13"/>
  <c r="F9" i="13"/>
  <c r="F7" i="13"/>
  <c r="F9" i="12"/>
  <c r="F7" i="11"/>
  <c r="F9" i="10"/>
  <c r="F7" i="10"/>
  <c r="F8" i="10"/>
  <c r="F11" i="10"/>
  <c r="F16" i="9"/>
  <c r="F15" i="9"/>
  <c r="F9" i="9"/>
  <c r="F17" i="9"/>
  <c r="F12" i="9"/>
  <c r="F11" i="9"/>
  <c r="F13" i="9"/>
  <c r="F8" i="9"/>
  <c r="F7" i="9"/>
  <c r="F12" i="8"/>
  <c r="F18" i="8"/>
  <c r="F7" i="8"/>
  <c r="F13" i="8"/>
  <c r="F17" i="8"/>
  <c r="F8" i="8"/>
  <c r="F20" i="8"/>
  <c r="F9" i="8"/>
  <c r="F15" i="8"/>
  <c r="F16" i="8"/>
  <c r="F11" i="8"/>
  <c r="F6" i="8"/>
  <c r="F20" i="7"/>
  <c r="F13" i="7"/>
  <c r="F14" i="7"/>
  <c r="F8" i="7"/>
  <c r="F11" i="7"/>
  <c r="F6" i="7"/>
  <c r="B6" i="7"/>
  <c r="F12" i="7"/>
  <c r="F15" i="7"/>
  <c r="F18" i="7"/>
  <c r="F19" i="7"/>
  <c r="F7" i="7"/>
  <c r="F9" i="7"/>
  <c r="F16" i="7"/>
  <c r="F10" i="7"/>
  <c r="F17" i="7"/>
  <c r="F8" i="6"/>
  <c r="F17" i="6"/>
  <c r="F20" i="6"/>
  <c r="F9" i="6"/>
  <c r="F12" i="6"/>
  <c r="F11" i="6"/>
  <c r="F21" i="6"/>
  <c r="F7" i="6"/>
  <c r="F19" i="6"/>
  <c r="F13" i="6"/>
  <c r="F16" i="6"/>
  <c r="F15" i="6"/>
  <c r="F23" i="6"/>
  <c r="F10" i="5"/>
  <c r="F11" i="5"/>
  <c r="F13" i="5"/>
  <c r="F7" i="5"/>
  <c r="F9" i="5"/>
  <c r="F13" i="4"/>
  <c r="F7" i="4"/>
  <c r="F12" i="4"/>
  <c r="F10" i="4"/>
  <c r="F11" i="4"/>
  <c r="F8" i="4"/>
  <c r="F9" i="4"/>
  <c r="F14" i="3"/>
  <c r="F12" i="3"/>
  <c r="F10" i="3"/>
  <c r="F9" i="3"/>
  <c r="F15" i="3"/>
  <c r="F13" i="3"/>
  <c r="F11" i="3"/>
  <c r="F6" i="2"/>
  <c r="F11" i="2"/>
  <c r="F8" i="2"/>
  <c r="F5" i="2"/>
  <c r="H8" i="2" a="1"/>
  <c r="F13" i="2" a="1"/>
  <c r="F16" i="2" a="1"/>
  <c r="F15" i="2" a="1"/>
  <c r="G7" i="2" a="1"/>
  <c r="F10" i="2" a="1"/>
  <c r="H11" i="2" a="1"/>
  <c r="G10" i="2" a="1"/>
  <c r="H17" i="2" a="1"/>
  <c r="G16" i="2" a="1"/>
  <c r="G14" i="2" a="1"/>
  <c r="G18" i="2" a="1"/>
  <c r="F7" i="2" a="1"/>
  <c r="G11" i="2" a="1"/>
  <c r="F18" i="2" a="1"/>
  <c r="G9" i="2" a="1"/>
  <c r="H16" i="2" a="1"/>
  <c r="G15" i="2" a="1"/>
  <c r="G12" i="2" a="1"/>
  <c r="G8" i="2" a="1"/>
  <c r="F9" i="2" a="1"/>
  <c r="F17" i="2" a="1"/>
  <c r="H13" i="2" a="1"/>
  <c r="H7" i="2" a="1"/>
  <c r="G13" i="2" a="1"/>
  <c r="F14" i="2" a="1"/>
  <c r="F12" i="2" a="1"/>
  <c r="F18" i="2" l="1"/>
  <c r="B6" i="20"/>
  <c r="B6" i="14"/>
  <c r="B7" i="20"/>
  <c r="B7" i="3"/>
  <c r="H7" i="2"/>
  <c r="H8" i="2"/>
  <c r="H16" i="2"/>
  <c r="H17" i="2"/>
  <c r="H11" i="2"/>
  <c r="H13" i="2"/>
  <c r="G14" i="2"/>
  <c r="G9" i="2"/>
  <c r="G12" i="2"/>
  <c r="G16" i="2"/>
  <c r="G10" i="2"/>
  <c r="G15" i="2"/>
  <c r="G7" i="2"/>
  <c r="G11" i="2"/>
  <c r="G18" i="2"/>
  <c r="G8" i="2"/>
  <c r="G13" i="2"/>
  <c r="B9" i="14"/>
  <c r="B7" i="17"/>
  <c r="B9" i="7"/>
  <c r="B7" i="8"/>
  <c r="B10" i="14"/>
  <c r="B9" i="17"/>
  <c r="B6" i="21"/>
  <c r="B7" i="16"/>
  <c r="B7" i="5"/>
  <c r="B10" i="16"/>
  <c r="B8" i="16"/>
  <c r="B6" i="18"/>
  <c r="B7" i="6"/>
  <c r="B6" i="4"/>
  <c r="B6" i="13"/>
  <c r="B7" i="9"/>
  <c r="B6" i="9"/>
  <c r="F7" i="2"/>
  <c r="F12" i="2"/>
  <c r="F15" i="2"/>
  <c r="F10" i="2"/>
  <c r="F17" i="2"/>
  <c r="B13" i="2" s="1"/>
  <c r="F14" i="2"/>
  <c r="B10" i="2"/>
  <c r="F13" i="2"/>
  <c r="F16" i="2"/>
  <c r="F9" i="2"/>
  <c r="B9" i="6"/>
  <c r="B8" i="7"/>
  <c r="B9" i="16"/>
  <c r="B10" i="7"/>
  <c r="B6" i="19"/>
  <c r="B7" i="4"/>
  <c r="B6" i="8"/>
  <c r="B7" i="18"/>
  <c r="B6" i="17"/>
  <c r="B9" i="15"/>
  <c r="B6" i="10"/>
  <c r="B10" i="6"/>
  <c r="B8" i="6"/>
  <c r="B10" i="3"/>
  <c r="B7" i="21"/>
  <c r="B9" i="2"/>
  <c r="B6" i="11"/>
  <c r="B7" i="14"/>
  <c r="B10" i="15"/>
  <c r="B6" i="12"/>
  <c r="B12" i="3"/>
  <c r="B10" i="17"/>
  <c r="B6" i="5"/>
  <c r="B6" i="16"/>
  <c r="B8" i="14"/>
  <c r="B11" i="3"/>
  <c r="B7" i="15"/>
  <c r="B8" i="15"/>
  <c r="B6" i="6"/>
  <c r="B8" i="17"/>
  <c r="B8" i="4"/>
  <c r="B6" i="15"/>
  <c r="B7" i="19"/>
  <c r="B8" i="5"/>
  <c r="B13" i="3"/>
  <c r="B9" i="3"/>
  <c r="B6" i="3"/>
  <c r="B7" i="7"/>
  <c r="B11" i="2" l="1"/>
  <c r="B12" i="2"/>
  <c r="B8" i="2"/>
  <c r="B6" i="2"/>
  <c r="B7" i="2"/>
</calcChain>
</file>

<file path=xl/sharedStrings.xml><?xml version="1.0" encoding="utf-8"?>
<sst xmlns="http://schemas.openxmlformats.org/spreadsheetml/2006/main" count="11300" uniqueCount="9667">
  <si>
    <t>당기(당분기,당반기) [member]</t>
  </si>
  <si>
    <t/>
  </si>
  <si>
    <t>전기 [member]</t>
  </si>
  <si>
    <t>전전기 [member]</t>
  </si>
  <si>
    <t>코드</t>
  </si>
  <si>
    <t>XBRL계정명</t>
  </si>
  <si>
    <t>±</t>
  </si>
  <si>
    <t>연결재무제표</t>
  </si>
  <si>
    <t>[단위 : 원]</t>
  </si>
  <si>
    <t>자산 [abstract]</t>
  </si>
  <si>
    <t xml:space="preserve">   비유동자산</t>
  </si>
  <si>
    <t>+</t>
  </si>
  <si>
    <t>-</t>
  </si>
  <si>
    <t xml:space="preserve">   유동자산</t>
  </si>
  <si>
    <t xml:space="preserve">   자산총계</t>
  </si>
  <si>
    <t>자본 [abstract]</t>
  </si>
  <si>
    <t xml:space="preserve">   비지배지분</t>
  </si>
  <si>
    <t xml:space="preserve">   자본총계</t>
  </si>
  <si>
    <t>부채  [abstract]</t>
  </si>
  <si>
    <t xml:space="preserve">   비유동부채</t>
  </si>
  <si>
    <t xml:space="preserve">   유동부채</t>
  </si>
  <si>
    <t xml:space="preserve">   부채총계</t>
  </si>
  <si>
    <t>자본과부채총계</t>
  </si>
  <si>
    <t>별도재무제표</t>
  </si>
  <si>
    <t>당기(당분기,당반기) [member]-Q</t>
  </si>
  <si>
    <t>당기(당분기,당반기) [member]-A</t>
  </si>
  <si>
    <t>전분기(전반기) [member]-Q</t>
  </si>
  <si>
    <t>전분기(전반기) [member]-A</t>
  </si>
  <si>
    <t>수익(매출액)</t>
  </si>
  <si>
    <t>매출원가</t>
  </si>
  <si>
    <t>매출총이익</t>
  </si>
  <si>
    <t>dart_TotalSellingGeneralAdministrativeExpenses</t>
  </si>
  <si>
    <t>판매비와관리비</t>
  </si>
  <si>
    <t>dart_OperatingIncomeLoss</t>
  </si>
  <si>
    <t>영업이익(손실)</t>
  </si>
  <si>
    <t>dart_OtherGains</t>
  </si>
  <si>
    <t>기타이익</t>
  </si>
  <si>
    <t>dart_OtherLosses</t>
  </si>
  <si>
    <t>기타손실</t>
  </si>
  <si>
    <t>금융수익</t>
  </si>
  <si>
    <t>금융원가</t>
  </si>
  <si>
    <t>법인세비용차감전순이익(손실)</t>
  </si>
  <si>
    <t>법인세비용</t>
  </si>
  <si>
    <t>계속영업이익(손실)</t>
  </si>
  <si>
    <t>중단영업이익(손실)</t>
  </si>
  <si>
    <t>당기순이익(손실)</t>
  </si>
  <si>
    <t>당기순이익(손실)의 귀속 [abstract]</t>
  </si>
  <si>
    <t xml:space="preserve">   지배기업의 소유주에게 귀속되는 당기순이익(손실)</t>
  </si>
  <si>
    <t xml:space="preserve">   비지배지분에 귀속되는 당기순이익(손실)</t>
  </si>
  <si>
    <t>주당이익 [abstract]</t>
  </si>
  <si>
    <t xml:space="preserve">   기본주당이익(손실)</t>
  </si>
  <si>
    <t xml:space="preserve">   희석주당이익(손실)</t>
  </si>
  <si>
    <t>기타포괄손익</t>
  </si>
  <si>
    <t>dart_OtherComprehensiveIncomeThatWillNotBeReclassifiedToProfitOrLossNetOfTax</t>
  </si>
  <si>
    <t>dart_OtherComprehensiveIncomeThatWillBeReclassifiedToProfitOrLossNetOfTax</t>
  </si>
  <si>
    <t>총포괄손익</t>
  </si>
  <si>
    <t>dart_OtherComprehensiveIncomeThatWillNotBeReclassifiedToProfitOrLossBeforeTax</t>
  </si>
  <si>
    <t>dart_OtherComprehensiveIncomeThatWillBeReclassifiedToProfitOrLossBeforeTax</t>
  </si>
  <si>
    <t>dart_IncomeTaxRelatingToComponentsOfOtherComprehensiveIncomeThatWillNotBeReclassifiedToProfitOrLoss</t>
  </si>
  <si>
    <t>dart_IncomeTaxRelatingToComponentsOfOtherComprehensiveIncomeThatWillBeReclassifiedToProfitOrLoss</t>
  </si>
  <si>
    <t>CODE</t>
  </si>
  <si>
    <t>표준산업분류(한글)</t>
  </si>
  <si>
    <t>표준산업분류(영문)</t>
  </si>
  <si>
    <t>01</t>
  </si>
  <si>
    <t>농업</t>
  </si>
  <si>
    <t>Agriculture</t>
  </si>
  <si>
    <t>011</t>
  </si>
  <si>
    <t>작물 재배업</t>
  </si>
  <si>
    <t>Growing of Crops</t>
  </si>
  <si>
    <t>0111</t>
  </si>
  <si>
    <t>곡물 및 기타 식량작물 재배업</t>
  </si>
  <si>
    <t>Growing of Cereal Crops and Other Crops for Food</t>
  </si>
  <si>
    <t>01110</t>
  </si>
  <si>
    <t>0112</t>
  </si>
  <si>
    <t>채소, 화훼작물 및 종묘 재배업</t>
  </si>
  <si>
    <t>Growing of Vegetables, Horticultural Specialties and Nursery Products</t>
  </si>
  <si>
    <t>01121</t>
  </si>
  <si>
    <t>채소작물 재배업</t>
  </si>
  <si>
    <t>Growing of Vegetables</t>
  </si>
  <si>
    <t>01122</t>
  </si>
  <si>
    <t>화훼작물 재배업</t>
  </si>
  <si>
    <t>Growing of Horticultural Specialties</t>
  </si>
  <si>
    <t>01123</t>
  </si>
  <si>
    <t>종자 및 묘목 생산업</t>
  </si>
  <si>
    <t>Growing of Crop Seeds and Nursery Products</t>
  </si>
  <si>
    <t>0113</t>
  </si>
  <si>
    <t>과실, 음료용 및 향신용 작물 재배업</t>
  </si>
  <si>
    <t>Growing of Fruit, Beverage and Spice Crops</t>
  </si>
  <si>
    <t>01131</t>
  </si>
  <si>
    <t>과실작물 재배업</t>
  </si>
  <si>
    <t>Growing of Fruit</t>
  </si>
  <si>
    <t>01132</t>
  </si>
  <si>
    <t>음료용 및 향신용 작물 재배업</t>
  </si>
  <si>
    <t>Growing of Beverage and Spice Crops</t>
  </si>
  <si>
    <t>0114</t>
  </si>
  <si>
    <t>기타 작물 재배업</t>
  </si>
  <si>
    <t>Growing of Other Crops</t>
  </si>
  <si>
    <t>01140</t>
  </si>
  <si>
    <t>0115</t>
  </si>
  <si>
    <t>시설작물 재배업</t>
  </si>
  <si>
    <t>Growing of Crops Under Cover</t>
  </si>
  <si>
    <t>01151</t>
  </si>
  <si>
    <t>콩나물 재배업</t>
  </si>
  <si>
    <t>Growing of Bean Sprouts</t>
  </si>
  <si>
    <t>01152</t>
  </si>
  <si>
    <t>채소, 화훼 및 과실작물 시설 재배업</t>
  </si>
  <si>
    <t>Growing of Vegetables and Fruit Under Cover</t>
  </si>
  <si>
    <t>01159</t>
  </si>
  <si>
    <t>기타 시설작물 재배업</t>
  </si>
  <si>
    <t>Growing of Other Crops Under Cover</t>
  </si>
  <si>
    <t>012</t>
  </si>
  <si>
    <t>축산업</t>
  </si>
  <si>
    <t>Farming of Animals</t>
  </si>
  <si>
    <t>0121</t>
  </si>
  <si>
    <t>소 사육업</t>
  </si>
  <si>
    <t>Farming of Cattle</t>
  </si>
  <si>
    <t>01211</t>
  </si>
  <si>
    <t>젖소 사육업</t>
  </si>
  <si>
    <t>Farming of Dairy Cattle</t>
  </si>
  <si>
    <t>01212</t>
  </si>
  <si>
    <t>육우 사육업</t>
  </si>
  <si>
    <t>Farming of Beef Cattle</t>
  </si>
  <si>
    <t>0122</t>
  </si>
  <si>
    <t>양돈업</t>
  </si>
  <si>
    <t>Farming of Pigs</t>
  </si>
  <si>
    <t>01220</t>
  </si>
  <si>
    <t>0123</t>
  </si>
  <si>
    <t>가금류 및 조류 사육업</t>
  </si>
  <si>
    <t>Raising of Poultry and birds</t>
  </si>
  <si>
    <t>01231</t>
  </si>
  <si>
    <t>양계업</t>
  </si>
  <si>
    <t>Raising of chickens</t>
  </si>
  <si>
    <t>01239</t>
  </si>
  <si>
    <t>기타 가금류 및 조류 사육업</t>
  </si>
  <si>
    <t>Raising of other Poultry and birds</t>
  </si>
  <si>
    <t>0129</t>
  </si>
  <si>
    <t>기타 축산업</t>
  </si>
  <si>
    <t>Other Animal Farming</t>
  </si>
  <si>
    <t>01291</t>
  </si>
  <si>
    <t>말 및 양 사육업</t>
  </si>
  <si>
    <t>Farming of Horses, Sheep and Goats</t>
  </si>
  <si>
    <t>01299</t>
  </si>
  <si>
    <t>그외 기타 축산업</t>
  </si>
  <si>
    <t>Other Animal Farming n.e.c.</t>
  </si>
  <si>
    <t>013</t>
  </si>
  <si>
    <t>작물재배 및 축산 복합농업</t>
  </si>
  <si>
    <t>Growing of Crops Combined With Farming of Animals : Mixed Farming</t>
  </si>
  <si>
    <t>0130</t>
  </si>
  <si>
    <t>01300</t>
  </si>
  <si>
    <t>014</t>
  </si>
  <si>
    <t>작물재배 및 축산 관련 서비스업</t>
  </si>
  <si>
    <t>Services Incidental to Growing of Crops and Animal Farming</t>
  </si>
  <si>
    <t>0141</t>
  </si>
  <si>
    <t>작물재배 관련 서비스업</t>
  </si>
  <si>
    <t>Services Incidental to Growing of Crops</t>
  </si>
  <si>
    <t>01411</t>
  </si>
  <si>
    <t>작물재배 지원 서비스업</t>
  </si>
  <si>
    <t>Support activities for crop production</t>
  </si>
  <si>
    <t>01412</t>
  </si>
  <si>
    <t>농산물 건조, 선별 및 기타 수확후 서비스업</t>
  </si>
  <si>
    <t>Drying, Grading of Agricultural Products and Other Post-harvest crop activities</t>
  </si>
  <si>
    <t>0142</t>
  </si>
  <si>
    <t>축산 관련 서비스업</t>
  </si>
  <si>
    <t>Support activities for Animal Production</t>
  </si>
  <si>
    <t>01420</t>
  </si>
  <si>
    <t>015</t>
  </si>
  <si>
    <t>수렵 및 관련 서비스업</t>
  </si>
  <si>
    <t>Hunting, Trapping and Game Propagation Including Related Service Activities</t>
  </si>
  <si>
    <t>0150</t>
  </si>
  <si>
    <t>Hunting, Trapping and Game Propagation and Related Service Activities</t>
  </si>
  <si>
    <t>01500</t>
  </si>
  <si>
    <t>02</t>
  </si>
  <si>
    <t>임업</t>
  </si>
  <si>
    <t>Forestry</t>
  </si>
  <si>
    <t>020</t>
  </si>
  <si>
    <t>0201</t>
  </si>
  <si>
    <t>영림업</t>
  </si>
  <si>
    <t>02011</t>
  </si>
  <si>
    <t>임업용 종묘 생산업</t>
  </si>
  <si>
    <t>Operation of Forest Seeds and Nurseries</t>
  </si>
  <si>
    <t>02012</t>
  </si>
  <si>
    <t>육림업</t>
  </si>
  <si>
    <t>Operation of Timber Tracts</t>
  </si>
  <si>
    <t>0202</t>
  </si>
  <si>
    <t>벌목업</t>
  </si>
  <si>
    <t>Logging</t>
  </si>
  <si>
    <t>02020</t>
  </si>
  <si>
    <t>0203</t>
  </si>
  <si>
    <t>임산물 채취업</t>
  </si>
  <si>
    <t>Gathering of Non-wood Forest Products</t>
  </si>
  <si>
    <t>02030</t>
  </si>
  <si>
    <t>0204</t>
  </si>
  <si>
    <t>임업 관련 서비스업</t>
  </si>
  <si>
    <t>Forestry and Logging Related Services</t>
  </si>
  <si>
    <t>02040</t>
  </si>
  <si>
    <t>03</t>
  </si>
  <si>
    <t>어업</t>
  </si>
  <si>
    <t>Fishing</t>
  </si>
  <si>
    <t>031</t>
  </si>
  <si>
    <t>어로 어업</t>
  </si>
  <si>
    <t>Fishing and Gathering of Marine Materials</t>
  </si>
  <si>
    <t>0311</t>
  </si>
  <si>
    <t>해면 어업</t>
  </si>
  <si>
    <t>Sea Fishing</t>
  </si>
  <si>
    <t>03111</t>
  </si>
  <si>
    <t>원양 어업</t>
  </si>
  <si>
    <t>Ocean Fishing</t>
  </si>
  <si>
    <t>03112</t>
  </si>
  <si>
    <t>연근해 어업</t>
  </si>
  <si>
    <t>Inshore and coastal Fishing</t>
  </si>
  <si>
    <t>0312</t>
  </si>
  <si>
    <t>내수면 어업</t>
  </si>
  <si>
    <t>Inland Fishing</t>
  </si>
  <si>
    <t>03120</t>
  </si>
  <si>
    <t>032</t>
  </si>
  <si>
    <t>양식어업 및 어업관련 서비스업</t>
  </si>
  <si>
    <t>Operation of Fish Cultivating and Fish Farms; Services Incidental to Fishing</t>
  </si>
  <si>
    <t>0321</t>
  </si>
  <si>
    <t>양식 어업</t>
  </si>
  <si>
    <t>Aquaculture</t>
  </si>
  <si>
    <t>03211</t>
  </si>
  <si>
    <t>해면 양식 어업</t>
  </si>
  <si>
    <t>Fish Farms, Sea</t>
  </si>
  <si>
    <t>03212</t>
  </si>
  <si>
    <t>내수면 양식 어업</t>
  </si>
  <si>
    <t>Fish Farms, Inland</t>
  </si>
  <si>
    <t>03213</t>
  </si>
  <si>
    <t>수산물 부화 및 종묘 생산업</t>
  </si>
  <si>
    <t>Hatching and Seeding of Aquatic Animals and Seaweeds</t>
  </si>
  <si>
    <t>0322</t>
  </si>
  <si>
    <t>어업 관련 서비스업</t>
  </si>
  <si>
    <t>Services Incidental to Fishing</t>
  </si>
  <si>
    <t>03220</t>
  </si>
  <si>
    <t>05</t>
  </si>
  <si>
    <t>석탄, 원유 및 천연가스 광업</t>
  </si>
  <si>
    <t>Mining of Coal, Crude Petroleum and Natural Gas</t>
  </si>
  <si>
    <t>051</t>
  </si>
  <si>
    <t>석탄 광업</t>
  </si>
  <si>
    <t>Mining of coal and lignite</t>
  </si>
  <si>
    <t>0510</t>
  </si>
  <si>
    <t>05100</t>
  </si>
  <si>
    <t>052</t>
  </si>
  <si>
    <t>원유 및 천연가스 채굴업</t>
  </si>
  <si>
    <t>Extraction of Crude Petroleum and Natural Gas</t>
  </si>
  <si>
    <t>0520</t>
  </si>
  <si>
    <t>05200</t>
  </si>
  <si>
    <t>06</t>
  </si>
  <si>
    <t>금속 광업</t>
  </si>
  <si>
    <t>Mining of Metal Ores</t>
  </si>
  <si>
    <t>061</t>
  </si>
  <si>
    <t>철 광업</t>
  </si>
  <si>
    <t>Mining of Iron Ores</t>
  </si>
  <si>
    <t>0610</t>
  </si>
  <si>
    <t>06100</t>
  </si>
  <si>
    <t>062</t>
  </si>
  <si>
    <t>비철금속 광업</t>
  </si>
  <si>
    <t>Mining of Non-ferrous Metal Ores</t>
  </si>
  <si>
    <t>0621</t>
  </si>
  <si>
    <t>우라늄 및 토륨 광업</t>
  </si>
  <si>
    <t>Mining of Uranium and Thorium Ores</t>
  </si>
  <si>
    <t>06210</t>
  </si>
  <si>
    <t>0629</t>
  </si>
  <si>
    <t>기타 비철금속 광업</t>
  </si>
  <si>
    <t>Mining of Other Non-ferrous Metal Ores</t>
  </si>
  <si>
    <t>06291</t>
  </si>
  <si>
    <t>금·은 및 백금 광업</t>
  </si>
  <si>
    <t>Mining of Gold, Silver and Platinum Group Ores</t>
  </si>
  <si>
    <t>06292</t>
  </si>
  <si>
    <t>연 및 아연 광업</t>
  </si>
  <si>
    <t>Mining of Lead and Zinc Ores</t>
  </si>
  <si>
    <t>06299</t>
  </si>
  <si>
    <t>그외 기타 비철금속 광업</t>
  </si>
  <si>
    <t>Mining of Other Non-ferrous Metal Ores, n. e. c.</t>
  </si>
  <si>
    <t>07</t>
  </si>
  <si>
    <t>비금속광물 광업;연료용 제외</t>
  </si>
  <si>
    <t>Mining of Non-metallic Minerals, Except Fuel</t>
  </si>
  <si>
    <t>071</t>
  </si>
  <si>
    <t>토사석 광업</t>
  </si>
  <si>
    <t>Quarrying of Stone, Sand and Gravel</t>
  </si>
  <si>
    <t>0711</t>
  </si>
  <si>
    <t>석회석 및 점토 광업</t>
  </si>
  <si>
    <t>Quarrying of Limestone, Gypsum and Clays</t>
  </si>
  <si>
    <t>07111</t>
  </si>
  <si>
    <t>석회석 광업</t>
  </si>
  <si>
    <t>Quarrying of Limestone and Gypsum</t>
  </si>
  <si>
    <t>07112</t>
  </si>
  <si>
    <t>고령토 및 기타 점토 광업</t>
  </si>
  <si>
    <t>Quarrying of Kaolin and Other Clays</t>
  </si>
  <si>
    <t>0712</t>
  </si>
  <si>
    <t>석재, 쇄석 및 모래자갈 채취업</t>
  </si>
  <si>
    <t>Quarrying of Stone, Broken Stone, Sand and Gravel</t>
  </si>
  <si>
    <t>07121</t>
  </si>
  <si>
    <t>건설용 석재 채굴업</t>
  </si>
  <si>
    <t>Quarrying of Monumental and Building Stone</t>
  </si>
  <si>
    <t>07122</t>
  </si>
  <si>
    <t>건설용 쇄석 생산업</t>
  </si>
  <si>
    <t>Quarrying of Crushed and Broken Building Stone</t>
  </si>
  <si>
    <t>07123</t>
  </si>
  <si>
    <t>모래 및 자갈 채취업</t>
  </si>
  <si>
    <t>Quarrying of Sand and Gravel</t>
  </si>
  <si>
    <t>072</t>
  </si>
  <si>
    <t>기타 비금속광물 광업</t>
  </si>
  <si>
    <t>Mining of Other Non-Metal Ores</t>
  </si>
  <si>
    <t>0721</t>
  </si>
  <si>
    <t>화학용 및 비료원료용 광물 광업</t>
  </si>
  <si>
    <t>Mining of Chemical and Fertilizer Minerals</t>
  </si>
  <si>
    <t>07210</t>
  </si>
  <si>
    <t>0722</t>
  </si>
  <si>
    <t>소금 채취업</t>
  </si>
  <si>
    <t>Extraction of Salt</t>
  </si>
  <si>
    <t>07220</t>
  </si>
  <si>
    <t>0729</t>
  </si>
  <si>
    <t>그외 기타 비금속광물 광업</t>
  </si>
  <si>
    <t>Mining of Other Non-metal Ores n.e.c., Except Fuel(삭제)</t>
  </si>
  <si>
    <t>07290</t>
  </si>
  <si>
    <t>Mining of Other Non-metal Ores n.e.c.</t>
  </si>
  <si>
    <t>08</t>
  </si>
  <si>
    <t>광업 지원 서비스업</t>
  </si>
  <si>
    <t>Mining support service activities</t>
  </si>
  <si>
    <t>080</t>
  </si>
  <si>
    <t>0801</t>
  </si>
  <si>
    <t>원유 및 천연가스 채굴관련 서비스업</t>
  </si>
  <si>
    <t>Service Activities Incidental to Oil and Gas Extraction</t>
  </si>
  <si>
    <t>08010</t>
  </si>
  <si>
    <t>0809</t>
  </si>
  <si>
    <t>기타 광업 지원 서비스업</t>
  </si>
  <si>
    <t>Other Mining support service activities</t>
  </si>
  <si>
    <t>08090</t>
  </si>
  <si>
    <t>10</t>
  </si>
  <si>
    <t>식료품 제조업</t>
  </si>
  <si>
    <t>Manufacture of Food Products</t>
  </si>
  <si>
    <t>101</t>
  </si>
  <si>
    <t>도축, 육류 가공 및 저장 처리업</t>
  </si>
  <si>
    <t>Slaughtering of Livestock, Processing, Preserving of Meat and Meat Products</t>
  </si>
  <si>
    <t>1011</t>
  </si>
  <si>
    <t>도축업</t>
  </si>
  <si>
    <t>Slaughtering of Livestock</t>
  </si>
  <si>
    <t>10110</t>
  </si>
  <si>
    <t>1012</t>
  </si>
  <si>
    <t>육류 가공 및 저장 처리업</t>
  </si>
  <si>
    <t>Processing, Preserving of Meat and Meat Products</t>
  </si>
  <si>
    <t>10121</t>
  </si>
  <si>
    <t>가금류 가공 및 저장 처리업</t>
  </si>
  <si>
    <t>Processing, Preserving of Poultry Products</t>
  </si>
  <si>
    <t>10129</t>
  </si>
  <si>
    <t>기타 육류 가공 및 저장처리업</t>
  </si>
  <si>
    <t>Processing, Preserving of Other Meat and Meat Products</t>
  </si>
  <si>
    <t>102</t>
  </si>
  <si>
    <t>수산물 가공 및 저장 처리업</t>
  </si>
  <si>
    <t>Processing and Preserving of Fishes and Edible Seaweeds</t>
  </si>
  <si>
    <t>1021</t>
  </si>
  <si>
    <t>수산동물 가공 및 저장 처리업</t>
  </si>
  <si>
    <t>Processing and Preserving of Fishes</t>
  </si>
  <si>
    <t>10211</t>
  </si>
  <si>
    <t>수산동물 훈제, 조리 및 유사 조제식품 제조업</t>
  </si>
  <si>
    <t>Manufacture of Smoked and Similar Prepared Fish Products</t>
  </si>
  <si>
    <t>10212</t>
  </si>
  <si>
    <t>수산동물 건조 및 염장품 제조업</t>
  </si>
  <si>
    <t>Manufacture of Fishes and Fish Products-Dried, Salted</t>
  </si>
  <si>
    <t>10213</t>
  </si>
  <si>
    <t>수산동물 냉동품 제조업</t>
  </si>
  <si>
    <t>Manufacture of Fish and Fish Products- Frozen</t>
  </si>
  <si>
    <t>10219</t>
  </si>
  <si>
    <t>기타 수산동물 가공 및 저장처리업</t>
  </si>
  <si>
    <t>Processing and Preserving of Other Fishes and Fish Products</t>
  </si>
  <si>
    <t>1022</t>
  </si>
  <si>
    <t>수산식물 가공 및 저장 처리업</t>
  </si>
  <si>
    <t>Processing and Preserving of  Edible Seaweeds</t>
  </si>
  <si>
    <t>10220</t>
  </si>
  <si>
    <t>103</t>
  </si>
  <si>
    <t>과실, 채소 가공 및 저장 처리업</t>
  </si>
  <si>
    <t>Processing and Preserving of Fruit and Vegetables</t>
  </si>
  <si>
    <t>1030</t>
  </si>
  <si>
    <t>10301</t>
  </si>
  <si>
    <t>과실 및 채소 절임식품 제조업</t>
  </si>
  <si>
    <t>Processing and Preserving of Fruit and Vegetables, Pickled Food</t>
  </si>
  <si>
    <t>10309</t>
  </si>
  <si>
    <t>기타 과실·채소 가공 및 저장처리업</t>
  </si>
  <si>
    <t>Processing and Preserving of Other Fruits and Vegetables</t>
  </si>
  <si>
    <t>104</t>
  </si>
  <si>
    <t>동물성 및 식물성 유지 제조업</t>
  </si>
  <si>
    <t>Manufacture of Vegetable and Animal Oils and Fats</t>
  </si>
  <si>
    <t>1040</t>
  </si>
  <si>
    <t>10401</t>
  </si>
  <si>
    <t>동물성 유지 제조업</t>
  </si>
  <si>
    <t>Manufacture of Animal Oils and Fats, Crude</t>
  </si>
  <si>
    <t>10402</t>
  </si>
  <si>
    <t>식물성 유지 제조업</t>
  </si>
  <si>
    <t>Manufacture of Vegetable Oils and Fats, Crude</t>
  </si>
  <si>
    <t>10403</t>
  </si>
  <si>
    <t>식용 정제유 및 가공유 제조업</t>
  </si>
  <si>
    <t>Manufacture of Edible Refined Oils and Processed Oils</t>
  </si>
  <si>
    <t>105</t>
  </si>
  <si>
    <t>낙농제품 및 식용빙과류 제조업</t>
  </si>
  <si>
    <t>Manufacture of Dairy Products and edible Ice Cakes</t>
  </si>
  <si>
    <t>1050</t>
  </si>
  <si>
    <t>10501</t>
  </si>
  <si>
    <t>액상시유 및 기타 낙농제품 제조업</t>
  </si>
  <si>
    <t>Manufacture of Fluid Milk and Other Dairy Products</t>
  </si>
  <si>
    <t>10502</t>
  </si>
  <si>
    <t>아이스크림 및 기타 식용빙과류 제조업</t>
  </si>
  <si>
    <t>Manufacture of Ice-Cream and Other Edible Ice Cakes</t>
  </si>
  <si>
    <t>106</t>
  </si>
  <si>
    <t>곡물가공품, 전분 및 전분제품 제조업</t>
  </si>
  <si>
    <t>Manufacture of Grain Mill Products, Starches and Starche Products</t>
  </si>
  <si>
    <t>1061</t>
  </si>
  <si>
    <t>곡물 가공품 제조업</t>
  </si>
  <si>
    <t>Manufacture of Grain Mill Products</t>
  </si>
  <si>
    <t>10611</t>
  </si>
  <si>
    <t>곡물 도정업</t>
  </si>
  <si>
    <t>Husking of Cereals</t>
  </si>
  <si>
    <t>10612</t>
  </si>
  <si>
    <t>곡물 제분업</t>
  </si>
  <si>
    <t>Milling of Cereals</t>
  </si>
  <si>
    <t>10613</t>
  </si>
  <si>
    <t>제과용 혼합분말 및 반죽 제조업</t>
  </si>
  <si>
    <t>Manufacture of Blended, Prepared Flour and Dough for Bread etc.</t>
  </si>
  <si>
    <t>10619</t>
  </si>
  <si>
    <t>기타 곡물가공품 제조업</t>
  </si>
  <si>
    <t>Manufacture of Other Grain Mill Products</t>
  </si>
  <si>
    <t>1062</t>
  </si>
  <si>
    <t>전분제품 및 당류 제조업</t>
  </si>
  <si>
    <t>Manufacture of Starches and Glucose or Maltose</t>
  </si>
  <si>
    <t>10620</t>
  </si>
  <si>
    <t>107</t>
  </si>
  <si>
    <t>기타 식품 제조업</t>
  </si>
  <si>
    <t>Manufacture of Other Food Products</t>
  </si>
  <si>
    <t>1071</t>
  </si>
  <si>
    <t>떡, 빵 및 과자류 제조업</t>
  </si>
  <si>
    <t>Manufacture of Rice Cakes, Fresh or Frozen Bakery Products, Dry Bakery Products</t>
  </si>
  <si>
    <t>10711</t>
  </si>
  <si>
    <t>떡류 제조업</t>
  </si>
  <si>
    <t>Manufacture of Rice Cakes</t>
  </si>
  <si>
    <t>10712</t>
  </si>
  <si>
    <t>빵류 제조업</t>
  </si>
  <si>
    <t>Manufacture of Fresh or Frozen Bakery Products</t>
  </si>
  <si>
    <t>10713</t>
  </si>
  <si>
    <t>코코아 제품 및 과자류 제조업</t>
  </si>
  <si>
    <t>Manufacture of Cocoa  and Dry Bakery Products</t>
  </si>
  <si>
    <t>1072</t>
  </si>
  <si>
    <t>설탕 제조업</t>
  </si>
  <si>
    <t>Manufacture of Sugar</t>
  </si>
  <si>
    <t>10720</t>
  </si>
  <si>
    <t>1073</t>
  </si>
  <si>
    <t>면류, 마카로니 및 유사식품 제조업</t>
  </si>
  <si>
    <t>Manufacture of Noodles, Macaroni and Similar Products</t>
  </si>
  <si>
    <t>10730</t>
  </si>
  <si>
    <t>1074</t>
  </si>
  <si>
    <t>조미료 및 식품 첨가물 제조업</t>
  </si>
  <si>
    <t>Manufacture of Condiments and Food Additive Products</t>
  </si>
  <si>
    <t>10741</t>
  </si>
  <si>
    <t>식초, 발효 및 화학 조미료 제조업</t>
  </si>
  <si>
    <t>Manufacture of Vinegar,Fermentation and Chemical Seasionings</t>
  </si>
  <si>
    <t>10742</t>
  </si>
  <si>
    <t>천연 및 혼합조제 조미료 제조업</t>
  </si>
  <si>
    <t>Manufacture of Natural Processed Spices and Mixed Condiments</t>
  </si>
  <si>
    <t>10743</t>
  </si>
  <si>
    <t>장류 제조업</t>
  </si>
  <si>
    <t>Manufacture of Soy Sauce and Soy Bean Paste</t>
  </si>
  <si>
    <t>10749</t>
  </si>
  <si>
    <t>기타 식품 첨가물 제조업</t>
  </si>
  <si>
    <t>Manufacture of Other Food Additive Products</t>
  </si>
  <si>
    <t>1079</t>
  </si>
  <si>
    <t>기타 식료품 제조업</t>
  </si>
  <si>
    <t>10791</t>
  </si>
  <si>
    <t>커피 가공업</t>
  </si>
  <si>
    <t>Manufacture of Prepared Coffee</t>
  </si>
  <si>
    <t>10792</t>
  </si>
  <si>
    <t>차류 가공업</t>
  </si>
  <si>
    <t>Manufacture of Prepared Tea</t>
  </si>
  <si>
    <t>10793</t>
  </si>
  <si>
    <t>수프 및 균질화식품 제조업</t>
  </si>
  <si>
    <t>Manufacture of Prepared Soups and Homogenized Food Products</t>
  </si>
  <si>
    <t>10794</t>
  </si>
  <si>
    <t>두부 및 유사식품 제조업</t>
  </si>
  <si>
    <t>Manufacture of Bean Curd and Similar Products</t>
  </si>
  <si>
    <t>10795</t>
  </si>
  <si>
    <t>인삼식품 제조업</t>
  </si>
  <si>
    <t>Manufacture of Ginseng Products</t>
  </si>
  <si>
    <t>10796</t>
  </si>
  <si>
    <t>건강보조용 액화식품 제조업</t>
  </si>
  <si>
    <t>Manufacture of Liquefied Health Additive Food</t>
  </si>
  <si>
    <t>10797</t>
  </si>
  <si>
    <t>건강기능식품 제조업</t>
  </si>
  <si>
    <t>Manufacture of Health Foods</t>
  </si>
  <si>
    <t>10798</t>
  </si>
  <si>
    <t>도시락 및 식사용 조리식품 제조업</t>
  </si>
  <si>
    <t>Manufacture of Lunch boxes and Composite food preparation for Meals</t>
  </si>
  <si>
    <t>10799</t>
  </si>
  <si>
    <t>그외 기타 식료품 제조업</t>
  </si>
  <si>
    <t>Manufacture of Other Food Products n.e.c.</t>
  </si>
  <si>
    <t>108</t>
  </si>
  <si>
    <t>동물용 사료 및 조제식품 제조업</t>
  </si>
  <si>
    <t>Manufacture of Livestock Feeds and Prepared Animal Feeds</t>
  </si>
  <si>
    <t>1080</t>
  </si>
  <si>
    <t>10800</t>
  </si>
  <si>
    <t>11</t>
  </si>
  <si>
    <t>음료 제조업</t>
  </si>
  <si>
    <t>Manufacture of  Beverages</t>
  </si>
  <si>
    <t>111</t>
  </si>
  <si>
    <t>알콜음료 제조업</t>
  </si>
  <si>
    <t>Manufacture of  Alcoholic Beverages</t>
  </si>
  <si>
    <t>1111</t>
  </si>
  <si>
    <t>발효주 제조업</t>
  </si>
  <si>
    <t>Manufacture of Other Fermented Alcoholic Beverages</t>
  </si>
  <si>
    <t>11111</t>
  </si>
  <si>
    <t>탁주 및 약주 제조업</t>
  </si>
  <si>
    <t>Manufacture of Rice Wines</t>
  </si>
  <si>
    <t>11112</t>
  </si>
  <si>
    <t>청주 제조업</t>
  </si>
  <si>
    <t>Manufacture of Refined Rice Wines</t>
  </si>
  <si>
    <t>11113</t>
  </si>
  <si>
    <t>맥아 및 맥주 제조업</t>
  </si>
  <si>
    <t>Manufacture of Malt and Malt Liquors</t>
  </si>
  <si>
    <t>11119</t>
  </si>
  <si>
    <t>기타 발효주 제조업</t>
  </si>
  <si>
    <t>1112</t>
  </si>
  <si>
    <t>증류주 및 합성주 제조업</t>
  </si>
  <si>
    <t>Distilling, Rectifying and Blending of Spirits , Ethyl Alcohol Production from Fermented Materials</t>
  </si>
  <si>
    <t>11121</t>
  </si>
  <si>
    <t>주정 제조업</t>
  </si>
  <si>
    <t>Distilling of Ethyl Alcohol</t>
  </si>
  <si>
    <t>11122</t>
  </si>
  <si>
    <t>소주 제조업</t>
  </si>
  <si>
    <t>Manufacture of Blended and Distilled Sojoo</t>
  </si>
  <si>
    <t>11129</t>
  </si>
  <si>
    <t>기타 증류주 및 합성주 제조업</t>
  </si>
  <si>
    <t>Manufacture of Other Distilled Alcohol from Fermented Materials and Blending of Spirits</t>
  </si>
  <si>
    <t>112</t>
  </si>
  <si>
    <t>비알콜음료 및 얼음 제조업</t>
  </si>
  <si>
    <t>Manufacture of Ice and Non-alcoholic Beverages, Production of Mineral Waters</t>
  </si>
  <si>
    <t>1120</t>
  </si>
  <si>
    <t>11201</t>
  </si>
  <si>
    <t>얼음 제조업</t>
  </si>
  <si>
    <t>Manufacture of Ice, Except Dry Ice</t>
  </si>
  <si>
    <t>11202</t>
  </si>
  <si>
    <t>생수 생산업</t>
  </si>
  <si>
    <t>Bottling of Waters</t>
  </si>
  <si>
    <t>11209</t>
  </si>
  <si>
    <t>기타 비알콜음료 제조업</t>
  </si>
  <si>
    <t>Manufacture of Other Non-Alcoholic Beverages</t>
  </si>
  <si>
    <t>12</t>
  </si>
  <si>
    <t>담배 제조업</t>
  </si>
  <si>
    <t>Manufacture of Tobacco Products</t>
  </si>
  <si>
    <t>120</t>
  </si>
  <si>
    <t>1200</t>
  </si>
  <si>
    <t>12001</t>
  </si>
  <si>
    <t>담배 재건조업</t>
  </si>
  <si>
    <t>Stemming and Redrying of Tobacco</t>
  </si>
  <si>
    <t>12002</t>
  </si>
  <si>
    <t>담배제품 제조업</t>
  </si>
  <si>
    <t>13</t>
  </si>
  <si>
    <t>섬유제품 제조업; 의복제외</t>
  </si>
  <si>
    <t>Manufacture of Textiles, Except Apparel</t>
  </si>
  <si>
    <t>131</t>
  </si>
  <si>
    <t>방적 및 가공사 제조업</t>
  </si>
  <si>
    <t>Spinning of Textiles and Processing of Threads and Yarns</t>
  </si>
  <si>
    <t>1310</t>
  </si>
  <si>
    <t>13101</t>
  </si>
  <si>
    <t>면 방적업</t>
  </si>
  <si>
    <t>Cotton of Spinning</t>
  </si>
  <si>
    <t>13102</t>
  </si>
  <si>
    <t>모 방적업</t>
  </si>
  <si>
    <t>Spinning of Wool</t>
  </si>
  <si>
    <t>13103</t>
  </si>
  <si>
    <t>화학섬유 방적업</t>
  </si>
  <si>
    <t>Spinning of Man-Made Fibers</t>
  </si>
  <si>
    <t>13104</t>
  </si>
  <si>
    <t>연사 및 가공사 제조업</t>
  </si>
  <si>
    <t>Manufacture of Twisted Threads and Processing of Threads</t>
  </si>
  <si>
    <t>13109</t>
  </si>
  <si>
    <t>기타 방적업</t>
  </si>
  <si>
    <t>Spinning of Other Textile Fibers</t>
  </si>
  <si>
    <t>132</t>
  </si>
  <si>
    <t>직물직조 및 직물제품 제조업</t>
  </si>
  <si>
    <t>Weaving of Textiles and Manufacture of Textile Products</t>
  </si>
  <si>
    <t>1321</t>
  </si>
  <si>
    <t>직물 직조업</t>
  </si>
  <si>
    <t>Weaving of Textiles</t>
  </si>
  <si>
    <t>13211</t>
  </si>
  <si>
    <t>면직물 직조업</t>
  </si>
  <si>
    <t>Weaving of Cotton Fabrics</t>
  </si>
  <si>
    <t>13212</t>
  </si>
  <si>
    <t>모직물 직조업</t>
  </si>
  <si>
    <t>Weaving of Woolen Fabrics</t>
  </si>
  <si>
    <t>13213</t>
  </si>
  <si>
    <t>화학섬유직물 직조업</t>
  </si>
  <si>
    <t>Weaving of Man-Made Fiber Fabrics</t>
  </si>
  <si>
    <t>13214</t>
  </si>
  <si>
    <t>견직물 직조업</t>
  </si>
  <si>
    <t>Weaving of Silk Fabrics</t>
  </si>
  <si>
    <t>13219</t>
  </si>
  <si>
    <t>특수직물 및 기타직물 직조업</t>
  </si>
  <si>
    <t>Other Weaving of Textiles</t>
  </si>
  <si>
    <t>1322</t>
  </si>
  <si>
    <t>직물제품 제조업</t>
  </si>
  <si>
    <t>Manufacture of Textile Products</t>
  </si>
  <si>
    <t>13221</t>
  </si>
  <si>
    <t>침구 및 관련제품 제조업</t>
  </si>
  <si>
    <t>Manufacture of Bedding and Related Products</t>
  </si>
  <si>
    <t>13222</t>
  </si>
  <si>
    <t>자수제품 및 자수용재료 제조업</t>
  </si>
  <si>
    <t>Manufacture of Handwoven Tapestry and Related Materials</t>
  </si>
  <si>
    <t>13223</t>
  </si>
  <si>
    <t>커튼 및 유사제품 제조업</t>
  </si>
  <si>
    <t>Manufacture of Curtains and Similar Goods</t>
  </si>
  <si>
    <t>13224</t>
  </si>
  <si>
    <t>천막 및 기타 캔버스 제품 제조업</t>
  </si>
  <si>
    <t>Manufacture of Tents and Other Made-Up Canvas Goods</t>
  </si>
  <si>
    <t>13225</t>
  </si>
  <si>
    <t>직물포대 제조업</t>
  </si>
  <si>
    <t>Manufacture of Textile Bags</t>
  </si>
  <si>
    <t>13229</t>
  </si>
  <si>
    <t>기타 직물제품 제조업</t>
  </si>
  <si>
    <t>Manufacture of Other Household Made-Up Textile Articles</t>
  </si>
  <si>
    <t>133</t>
  </si>
  <si>
    <t>편조원단 및 편조제품 제조업</t>
  </si>
  <si>
    <t>Manufacture of  Knitted Fabric Mills and Fabric Products</t>
  </si>
  <si>
    <t>1331</t>
  </si>
  <si>
    <t>편조원단 제조업</t>
  </si>
  <si>
    <t>Manufacture of Knitted Fabric Mills</t>
  </si>
  <si>
    <t>13310</t>
  </si>
  <si>
    <t>1332</t>
  </si>
  <si>
    <t>편조제품 제조업</t>
  </si>
  <si>
    <t>Manufacture of  Knitted Fabric Products</t>
  </si>
  <si>
    <t>13320</t>
  </si>
  <si>
    <t>134</t>
  </si>
  <si>
    <t>섬유제품 염색, 정리 및 마무리 가공업</t>
  </si>
  <si>
    <t>Dyeing and Finishing Textiles</t>
  </si>
  <si>
    <t>1340</t>
  </si>
  <si>
    <t>13401</t>
  </si>
  <si>
    <t>솜 및 실 염색가공업</t>
  </si>
  <si>
    <t>Dyeing and Finishing of Fibers and Yarns</t>
  </si>
  <si>
    <t>13402</t>
  </si>
  <si>
    <t>직물 및 편조원단 염색 가공업</t>
  </si>
  <si>
    <t>Dyeing and Finishing of Woven and Knitted Fabrics</t>
  </si>
  <si>
    <t>13403</t>
  </si>
  <si>
    <t>날염 가공업</t>
  </si>
  <si>
    <t>Printing of Textiles</t>
  </si>
  <si>
    <t>13404</t>
  </si>
  <si>
    <t>섬유사 및 직물 호부처리업</t>
  </si>
  <si>
    <t>Sizing of Fibers and Fabrics</t>
  </si>
  <si>
    <t>13409</t>
  </si>
  <si>
    <t>기타 섬유제품 염색, 정리 및 마무리 가공업</t>
  </si>
  <si>
    <t>Other Dyeing and Finishing Textiles</t>
  </si>
  <si>
    <t>139</t>
  </si>
  <si>
    <t>기타 섬유제품 제조업</t>
  </si>
  <si>
    <t>Manufacture of Other Made-Up Textile Articles, Except Apparel</t>
  </si>
  <si>
    <t>1391</t>
  </si>
  <si>
    <t>카펫, 마루덮개 및 유사제품 제조업</t>
  </si>
  <si>
    <t>Manufacture of Carpets, Rugs and Similar products</t>
  </si>
  <si>
    <t>13910</t>
  </si>
  <si>
    <t>1392</t>
  </si>
  <si>
    <t>끈, 로프, 망 및 끈가공품 제조업</t>
  </si>
  <si>
    <t>Manufacture of Cordage, Rope, Twine Netting and Processed String</t>
  </si>
  <si>
    <t>13921</t>
  </si>
  <si>
    <t>끈 및 로프 제조업</t>
  </si>
  <si>
    <t>Manufacture of Cordage and Rope</t>
  </si>
  <si>
    <t>13922</t>
  </si>
  <si>
    <t>어망 및 기타 끈가공품 제조업</t>
  </si>
  <si>
    <t>Manufacture of Fishing Nets and Other Cordage</t>
  </si>
  <si>
    <t>1399</t>
  </si>
  <si>
    <t>그외 기타 섬유제품 제조업</t>
  </si>
  <si>
    <t>Manufacture of Other Textiles n.e.c.</t>
  </si>
  <si>
    <t>13991</t>
  </si>
  <si>
    <t>세폭직물 제조업</t>
  </si>
  <si>
    <t>Manufacture of Narrow Woven Fabrics</t>
  </si>
  <si>
    <t>13992</t>
  </si>
  <si>
    <t>부직포 및 펠트 제조업</t>
  </si>
  <si>
    <t>Manufacture of Other Non-woven and Felt Fabrics</t>
  </si>
  <si>
    <t>13993</t>
  </si>
  <si>
    <t>특수사 및 코드직물 제조업</t>
  </si>
  <si>
    <t>Manufacture of Special Yarns and Tire Cord Fabrics</t>
  </si>
  <si>
    <t>13994</t>
  </si>
  <si>
    <t>적층 및 표면처리 직물 제조업</t>
  </si>
  <si>
    <t>Manufacture of Laminated or Coated Fabrics</t>
  </si>
  <si>
    <t>13999</t>
  </si>
  <si>
    <t>그외 기타 분류안된 섬유제품 제조업</t>
  </si>
  <si>
    <t>Manufacture of All Other Textiles n.e.c.</t>
  </si>
  <si>
    <t>14</t>
  </si>
  <si>
    <t>의복, 의복액세서리 및 모피제품 제조업</t>
  </si>
  <si>
    <t>Manufacture of wearing apparel, Clothing Accessories and Fur Articles</t>
  </si>
  <si>
    <t>141</t>
  </si>
  <si>
    <t>봉제의복 제조업</t>
  </si>
  <si>
    <t>Manufacture of Sewn Wearing Apparel, Except Fur Apparel</t>
  </si>
  <si>
    <t>1411</t>
  </si>
  <si>
    <t>정장 제조업</t>
  </si>
  <si>
    <t>Manufacture of Suits and Coats</t>
  </si>
  <si>
    <t>14111</t>
  </si>
  <si>
    <t>남자용 정장 제조업</t>
  </si>
  <si>
    <t>Manufacture of Men's Suits and Coats</t>
  </si>
  <si>
    <t>14112</t>
  </si>
  <si>
    <t>여자용 정장 제조업</t>
  </si>
  <si>
    <t>Manufacture of Women's Suits and Coats</t>
  </si>
  <si>
    <t>1412</t>
  </si>
  <si>
    <t>내의 및 잠옷 제조업</t>
  </si>
  <si>
    <t>Manufacture of Underwear and Night Clothes</t>
  </si>
  <si>
    <t>14120</t>
  </si>
  <si>
    <t>1413</t>
  </si>
  <si>
    <t>한복 제조업</t>
  </si>
  <si>
    <t>Manufacture of Korean Traditional Clothes</t>
  </si>
  <si>
    <t>14130</t>
  </si>
  <si>
    <t>1419</t>
  </si>
  <si>
    <t>기타 봉제의복 제조업</t>
  </si>
  <si>
    <t>Manufacture of Other Sewn Apparel</t>
  </si>
  <si>
    <t>14191</t>
  </si>
  <si>
    <t>셔츠 및 체육복 제조업</t>
  </si>
  <si>
    <t>Manufacture of Shirts and Sports Garments</t>
  </si>
  <si>
    <t>14192</t>
  </si>
  <si>
    <t>근무복, 작업복 및 유사의복 제조업</t>
  </si>
  <si>
    <t>Manufacture of Working Clothes and Similar Garments</t>
  </si>
  <si>
    <t>14193</t>
  </si>
  <si>
    <t>가죽의복 제조업</t>
  </si>
  <si>
    <t>Manufacture of Leather Garments</t>
  </si>
  <si>
    <t>14194</t>
  </si>
  <si>
    <t>유아용 의복 제조업</t>
  </si>
  <si>
    <t>Manufacture of Baby Garments and Clothing Accessories</t>
  </si>
  <si>
    <t>14199</t>
  </si>
  <si>
    <t>그외 기타 봉제의복 제조업</t>
  </si>
  <si>
    <t>Manufacture of Other Sewn Wearing Apparel n.e.c.</t>
  </si>
  <si>
    <t>142</t>
  </si>
  <si>
    <t>모피가공 및 모피제품 제조업</t>
  </si>
  <si>
    <t>Dressing and Dyeing of Fur, Manufacture of Articles of Fur</t>
  </si>
  <si>
    <t>1420</t>
  </si>
  <si>
    <t>14201</t>
  </si>
  <si>
    <t>원모피 가공업</t>
  </si>
  <si>
    <t>Processing of Furskins</t>
  </si>
  <si>
    <t>14202</t>
  </si>
  <si>
    <t>천연모피제품 제조업</t>
  </si>
  <si>
    <t>Manufacture of Natural Fur Articles</t>
  </si>
  <si>
    <t>14203</t>
  </si>
  <si>
    <t>인조모피 및 인조모피 제품 제조업</t>
  </si>
  <si>
    <t>Manufacture of Artificial Fur and its Products</t>
  </si>
  <si>
    <t>143</t>
  </si>
  <si>
    <t>편조의복 제조업</t>
  </si>
  <si>
    <t>Knitted and Crocheted Apparel</t>
  </si>
  <si>
    <t>1430</t>
  </si>
  <si>
    <t>14300</t>
  </si>
  <si>
    <t>144</t>
  </si>
  <si>
    <t>의복 액세서리 제조업</t>
  </si>
  <si>
    <t>1441</t>
  </si>
  <si>
    <t>편조의복 액세서리 제조업</t>
  </si>
  <si>
    <t>Manufacture of Knitted and Crocheted Apparel   Accessories</t>
  </si>
  <si>
    <t>14411</t>
  </si>
  <si>
    <t>스타킹 및 기타양말 제조업</t>
  </si>
  <si>
    <t>Manufacture of Stockings and Other Hosiery</t>
  </si>
  <si>
    <t>14419</t>
  </si>
  <si>
    <t>기타 편조의복 액세서리 제조업</t>
  </si>
  <si>
    <t>Manufacture of Other Knitted and Crocheted Apparel   Accessories</t>
  </si>
  <si>
    <t>1449</t>
  </si>
  <si>
    <t>기타 의복액세서리 제조업</t>
  </si>
  <si>
    <t>Manufacture of Other Clothing Accessories</t>
  </si>
  <si>
    <t>14491</t>
  </si>
  <si>
    <t>모자 제조업</t>
  </si>
  <si>
    <t>Manufacture of Hats</t>
  </si>
  <si>
    <t>14499</t>
  </si>
  <si>
    <t>그외 기타 의복액세서리 제조업</t>
  </si>
  <si>
    <t>Manufacture of Other Clothing Accessories n. e. c.</t>
  </si>
  <si>
    <t>15</t>
  </si>
  <si>
    <t>가죽, 가방 및 신발 제조업</t>
  </si>
  <si>
    <t>Tanning and Dressing of Leather , Manufacture of Luggage and Footwear</t>
  </si>
  <si>
    <t>151</t>
  </si>
  <si>
    <t>가죽, 가방 및 유사제품 제조업</t>
  </si>
  <si>
    <t>Manufacture of Luggage, Footwear and Similar Products</t>
  </si>
  <si>
    <t>1511</t>
  </si>
  <si>
    <t>원피가공 및 가죽 제조업</t>
  </si>
  <si>
    <t>Processing of Raw Hides and Tanning and Dressing of Leather</t>
  </si>
  <si>
    <t>15110</t>
  </si>
  <si>
    <t>1512</t>
  </si>
  <si>
    <t>핸드백, 가방 및 기타 보호용 케이스 제조업</t>
  </si>
  <si>
    <t>Manufacture of Handbags, Luggage and Other Protective Cases</t>
  </si>
  <si>
    <t>15121</t>
  </si>
  <si>
    <t>핸드백 및 지갑 제조업</t>
  </si>
  <si>
    <t>Manufacture of Handbags and Purses</t>
  </si>
  <si>
    <t>15129</t>
  </si>
  <si>
    <t>가방 및 기타 보호용 케이스 제조업</t>
  </si>
  <si>
    <t>Manufacture of Luggage and Other Protective Cases</t>
  </si>
  <si>
    <t>1519</t>
  </si>
  <si>
    <t>기타 가죽제품 제조업</t>
  </si>
  <si>
    <t>Manufacture of Other Leather Articles</t>
  </si>
  <si>
    <t>15190</t>
  </si>
  <si>
    <t>152</t>
  </si>
  <si>
    <t>신발 및 신발부분품 제조업</t>
  </si>
  <si>
    <t>Manufacture of Footwear and Parts of Footwear</t>
  </si>
  <si>
    <t>1521</t>
  </si>
  <si>
    <t>신발제조업</t>
  </si>
  <si>
    <t>Manufacture of Footwear</t>
  </si>
  <si>
    <t>15211</t>
  </si>
  <si>
    <t>구두류 제조업</t>
  </si>
  <si>
    <t>Manufacture of Shoes</t>
  </si>
  <si>
    <t>15219</t>
  </si>
  <si>
    <t>기타 신발 제조업</t>
  </si>
  <si>
    <t>Manufacture of Other Footwear</t>
  </si>
  <si>
    <t>1522</t>
  </si>
  <si>
    <t>신발부분품 제조업</t>
  </si>
  <si>
    <t>Manufacture of Parts of Footwear</t>
  </si>
  <si>
    <t>15220</t>
  </si>
  <si>
    <t>16</t>
  </si>
  <si>
    <t>목재 및 나무제품 제조업;가구제외</t>
  </si>
  <si>
    <t>Manufacture of Wood and of Products of Wood and Cork ; Except Furniture</t>
  </si>
  <si>
    <t>161</t>
  </si>
  <si>
    <t>제재 및 목재 가공업</t>
  </si>
  <si>
    <t>Sawmilling and Planing of Wood</t>
  </si>
  <si>
    <t>1610</t>
  </si>
  <si>
    <t>16101</t>
  </si>
  <si>
    <t>일반 제재업</t>
  </si>
  <si>
    <t>Sawmills</t>
  </si>
  <si>
    <t>16102</t>
  </si>
  <si>
    <t>표면가공목재 및 특정 목적용 제재목 제조업</t>
  </si>
  <si>
    <t>Manufacture of Shaped Wood Products and Wood for Special Purpose</t>
  </si>
  <si>
    <t>16103</t>
  </si>
  <si>
    <t>목재 보존, 방부처리, 도장 및 유사 처리업</t>
  </si>
  <si>
    <t>Preservation, Antisepsis, Painting and Similar Processing of Woods</t>
  </si>
  <si>
    <t>162</t>
  </si>
  <si>
    <t>나무제품 제조업</t>
  </si>
  <si>
    <t>Manufacture of Wood Products</t>
  </si>
  <si>
    <t>1621</t>
  </si>
  <si>
    <t>박판, 합판 및 강화목제품 제조업</t>
  </si>
  <si>
    <t>Manufacture of Veneer Sheets, Plywoods and Densified Woods</t>
  </si>
  <si>
    <t>16211</t>
  </si>
  <si>
    <t>박판, 합판 및 유사적층판 제조업</t>
  </si>
  <si>
    <t>Manufacture of Veneer Sheets, Plywoods  and Similar Laminated Layer Boards</t>
  </si>
  <si>
    <t>16212</t>
  </si>
  <si>
    <t>강화 및 재생 목재 제조업</t>
  </si>
  <si>
    <t>Manufacture of Densified and Reconstituted Wood</t>
  </si>
  <si>
    <t>1622</t>
  </si>
  <si>
    <t>건축용 나무제품 제조업</t>
  </si>
  <si>
    <t>Manufacture of Builders' Carpentry and Joinery</t>
  </si>
  <si>
    <t>16221</t>
  </si>
  <si>
    <t>목재문 및 관련제품 제조업</t>
  </si>
  <si>
    <t>Manufacture of Wooden Doors and Related Products</t>
  </si>
  <si>
    <t>16229</t>
  </si>
  <si>
    <t>기타 건축용 나무제품 제조업</t>
  </si>
  <si>
    <t>Manufacture of Other Builders' Carpentry and Joinery</t>
  </si>
  <si>
    <t>1623</t>
  </si>
  <si>
    <t>목재 상자, 드럼 및 적재판 제조업</t>
  </si>
  <si>
    <t>Manufacture of Wooden Containers, Drums and Loading Boards</t>
  </si>
  <si>
    <t>16231</t>
  </si>
  <si>
    <t>목재 깔판류 및 기타 적재판 제조업</t>
  </si>
  <si>
    <t>Manufacture of Wooden Pallets and Other Load Boards</t>
  </si>
  <si>
    <t>16232</t>
  </si>
  <si>
    <t>목재 포장용 상자, 드럼 및 유사용기 제조업</t>
  </si>
  <si>
    <t>Manufacture of Wooden Packing Boxes, Drums and Similar Containers</t>
  </si>
  <si>
    <t>1629</t>
  </si>
  <si>
    <t>기타 나무제품 제조업</t>
  </si>
  <si>
    <t>Manufacture of Other Wood Products</t>
  </si>
  <si>
    <t>16291</t>
  </si>
  <si>
    <t>목재 도구 및 기구 제조업</t>
  </si>
  <si>
    <t>Manufacture of Wooden Tools and Appliances</t>
  </si>
  <si>
    <t>16292</t>
  </si>
  <si>
    <t>주방용 및 식탁용 목제품 제조업</t>
  </si>
  <si>
    <t>Manufacture of Wooden Kitchen and Tableware</t>
  </si>
  <si>
    <t>16293</t>
  </si>
  <si>
    <t>장식용 목제품 제조업</t>
  </si>
  <si>
    <t>Manufacture of Ornamental Wood</t>
  </si>
  <si>
    <t>16299</t>
  </si>
  <si>
    <t>그외 기타 나무제품 제조업</t>
  </si>
  <si>
    <t>Manufacture of Other Wood Products n. e. c.</t>
  </si>
  <si>
    <t>163</t>
  </si>
  <si>
    <t>코르크 및 조물 제품 제조업</t>
  </si>
  <si>
    <t>Manufacture of Articles of  Cork, Straw and Plaiting Materials</t>
  </si>
  <si>
    <t>1630</t>
  </si>
  <si>
    <t>16301</t>
  </si>
  <si>
    <t>코르크 제품 제조업</t>
  </si>
  <si>
    <t>Manufacture of Articles of Cork</t>
  </si>
  <si>
    <t>16302</t>
  </si>
  <si>
    <t>돗자리 및 기타 조물제품 제조업</t>
  </si>
  <si>
    <t>Manufacture of Rush Mats and Other Articles of Plaiting Materials</t>
  </si>
  <si>
    <t>17</t>
  </si>
  <si>
    <t>펄프, 종이 및 종이제품 제조업</t>
  </si>
  <si>
    <t>Manufacture of Pulp, Paper and Paper Products</t>
  </si>
  <si>
    <t>171</t>
  </si>
  <si>
    <t>펄프, 종이 및 판지 제조업</t>
  </si>
  <si>
    <t>Manufacture of Pulp, Paper and Paperboard</t>
  </si>
  <si>
    <t>1711</t>
  </si>
  <si>
    <t>펄프 제조업</t>
  </si>
  <si>
    <t>Manufacture of Pulp</t>
  </si>
  <si>
    <t>17110</t>
  </si>
  <si>
    <t>1712</t>
  </si>
  <si>
    <t>종이 및 판지 제조업</t>
  </si>
  <si>
    <t>Manufacture of Paper and Paperboard</t>
  </si>
  <si>
    <t>17121</t>
  </si>
  <si>
    <t>신문용지 제조업</t>
  </si>
  <si>
    <t>Manufacture of Newsprint</t>
  </si>
  <si>
    <t>17122</t>
  </si>
  <si>
    <t>인쇄용 및 필기용 원지 제조업</t>
  </si>
  <si>
    <t>Manufacture of Printing and Writing Paper</t>
  </si>
  <si>
    <t>17123</t>
  </si>
  <si>
    <t>크라프트지 및 상자용 판지 제조업</t>
  </si>
  <si>
    <t>Manufacture of Kraft Paper and Paperboard</t>
  </si>
  <si>
    <t>17124</t>
  </si>
  <si>
    <t>적층, 합성 및 특수표면처리 종이 제조업</t>
  </si>
  <si>
    <t>Manufacture of Lamination,  Composition and Specific Surface Paper</t>
  </si>
  <si>
    <t>17129</t>
  </si>
  <si>
    <t>기타 종이 및 판지 제조업</t>
  </si>
  <si>
    <t>Manufacture of Other Paper and Paperboard</t>
  </si>
  <si>
    <t>172</t>
  </si>
  <si>
    <t>골판지, 종이 상자 및 종이 용기 제조업</t>
  </si>
  <si>
    <t>Manufacture of Corrugated Cardboard, Paper Boxes and Paper Containers</t>
  </si>
  <si>
    <t>1721</t>
  </si>
  <si>
    <t>골판지 및 골판지상자 제조업</t>
  </si>
  <si>
    <t>Manufacture of Corrugated Cardboard and Cardboard Boxes</t>
  </si>
  <si>
    <t>17210</t>
  </si>
  <si>
    <t>1722</t>
  </si>
  <si>
    <t>종이포대, 판지상자 및 종이용기 제조업</t>
  </si>
  <si>
    <t>17221</t>
  </si>
  <si>
    <t>종이 포대 및 가방 제조업</t>
  </si>
  <si>
    <t>Manufacture of Paper Sacks and Paper Bags</t>
  </si>
  <si>
    <t>17222</t>
  </si>
  <si>
    <t>판지 상자 및 용기 제조업</t>
  </si>
  <si>
    <t>Manufacture of Paperboard Boxes and Containers</t>
  </si>
  <si>
    <t>17223</t>
  </si>
  <si>
    <t>식품 위생용 종이 상자 및 용기 제조업</t>
  </si>
  <si>
    <t>Manufacture of Sanitary Paper Boxes and Containers for Food</t>
  </si>
  <si>
    <t>17229</t>
  </si>
  <si>
    <t>기타 종이 상자 및 용기 제조업</t>
  </si>
  <si>
    <t>Manufacture of Other Paper Boxes and Containers</t>
  </si>
  <si>
    <t>179</t>
  </si>
  <si>
    <t>기타 종이 및 판지 제품 제조업</t>
  </si>
  <si>
    <t>Manufacture of Other Paper and Paperboard Products</t>
  </si>
  <si>
    <t>1790</t>
  </si>
  <si>
    <t>Manufacture of Other Articles of Paper and Paperboard</t>
  </si>
  <si>
    <t>17901</t>
  </si>
  <si>
    <t>문구용 종이제품 제조업</t>
  </si>
  <si>
    <t>Manufacture of Stationery Paper</t>
  </si>
  <si>
    <t>17902</t>
  </si>
  <si>
    <t>위생용 종이제품 제조업</t>
  </si>
  <si>
    <t>Manufacture of Sanitary Paper Products</t>
  </si>
  <si>
    <t>17903</t>
  </si>
  <si>
    <t>벽지 및 장판지 제조업</t>
  </si>
  <si>
    <t>Manufacture of Wallpaper and Oilpaper</t>
  </si>
  <si>
    <t>17909</t>
  </si>
  <si>
    <t>그외 기타 종이 및 판지 제품 제조업</t>
  </si>
  <si>
    <t>Manufacture of Other Articles of Paper and Paperboard n.e.c.</t>
  </si>
  <si>
    <t>18</t>
  </si>
  <si>
    <t>인쇄 및 기록매체 복제업</t>
  </si>
  <si>
    <t>Printing and Reproduction of Recorded Media</t>
  </si>
  <si>
    <t>181</t>
  </si>
  <si>
    <t>인쇄 및 인쇄관련 산업</t>
  </si>
  <si>
    <t>Printing and Service Activities Related to Printing</t>
  </si>
  <si>
    <t>1811</t>
  </si>
  <si>
    <t>인쇄업</t>
  </si>
  <si>
    <t>Printing</t>
  </si>
  <si>
    <t>18111</t>
  </si>
  <si>
    <t>경 인쇄업</t>
  </si>
  <si>
    <t>Commercial Printing By Stencil Plate and Similar Plates</t>
  </si>
  <si>
    <t>18112</t>
  </si>
  <si>
    <t>스크린 인쇄업</t>
  </si>
  <si>
    <t>Screen Printing</t>
  </si>
  <si>
    <t>18119</t>
  </si>
  <si>
    <t>기타 인쇄업</t>
  </si>
  <si>
    <t>Other Printing</t>
  </si>
  <si>
    <t>1812</t>
  </si>
  <si>
    <t>인쇄관련 산업</t>
  </si>
  <si>
    <t>Service Activities Related to Printing</t>
  </si>
  <si>
    <t>18121</t>
  </si>
  <si>
    <t>제판 및 조판업</t>
  </si>
  <si>
    <t>Printing Composition Services and Plate-making</t>
  </si>
  <si>
    <t>18122</t>
  </si>
  <si>
    <t>제책업</t>
  </si>
  <si>
    <t>Bookbinding Services</t>
  </si>
  <si>
    <t>18129</t>
  </si>
  <si>
    <t>기타 인쇄관련 산업</t>
  </si>
  <si>
    <t>Other Service Activities Related to Printing</t>
  </si>
  <si>
    <t>182</t>
  </si>
  <si>
    <t>기록매체 복제업</t>
  </si>
  <si>
    <t>Reproduction of Recorded Media</t>
  </si>
  <si>
    <t>1820</t>
  </si>
  <si>
    <t>18200</t>
  </si>
  <si>
    <t>19</t>
  </si>
  <si>
    <t>코크스, 연탄 및 석유정제품 제조업</t>
  </si>
  <si>
    <t>Manufacture of Coke, hard-coal and lignite fuel briquettes and Refined Petroleum Products</t>
  </si>
  <si>
    <t>191</t>
  </si>
  <si>
    <t>코크스 및 연탄 제조업</t>
  </si>
  <si>
    <t>Manufacture of Coke and Briquettes</t>
  </si>
  <si>
    <t>1910</t>
  </si>
  <si>
    <t>19101</t>
  </si>
  <si>
    <t>코크스 및 관련제품 제조업</t>
  </si>
  <si>
    <t>Manufacture of Coke and Related Products</t>
  </si>
  <si>
    <t>19102</t>
  </si>
  <si>
    <t>연탄 및 기타 석탄 가공품 제조업</t>
  </si>
  <si>
    <t>Manufacture of Briquettes and Other Coal  Products</t>
  </si>
  <si>
    <t>192</t>
  </si>
  <si>
    <t>석유 정제품 제조업</t>
  </si>
  <si>
    <t>Manufacture of Refined Petroleum Products</t>
  </si>
  <si>
    <t>1921</t>
  </si>
  <si>
    <t>원유 정제처리업</t>
  </si>
  <si>
    <t>Petroleum Refineries</t>
  </si>
  <si>
    <t>19210</t>
  </si>
  <si>
    <t>1922</t>
  </si>
  <si>
    <t>석유정제물 재처리업</t>
  </si>
  <si>
    <t>Reprocessing of Fractionation in Petroleum Refinery</t>
  </si>
  <si>
    <t>19221</t>
  </si>
  <si>
    <t>윤활유 및 그리스 제조업</t>
  </si>
  <si>
    <t>Manufacture of Lubricating Oils and Greases</t>
  </si>
  <si>
    <t>19229</t>
  </si>
  <si>
    <t>기타 석유정제물 재처리업</t>
  </si>
  <si>
    <t>Reprocessing of Other Fractionated Petroleum</t>
  </si>
  <si>
    <t>20</t>
  </si>
  <si>
    <t>화학물질 및 화학제품 제조업;의약품 제외</t>
  </si>
  <si>
    <t>Manufacture of chemicals and chemical products (except pharmaceuticals, medicinal chemicals)</t>
  </si>
  <si>
    <t>201</t>
  </si>
  <si>
    <t>기초화학물질 제조업</t>
  </si>
  <si>
    <t>Manufacture of Basic Chemicals</t>
  </si>
  <si>
    <t>2011</t>
  </si>
  <si>
    <t>기초유기화학물질 제조업</t>
  </si>
  <si>
    <t>Manufacture of Basic Organic Chemicals</t>
  </si>
  <si>
    <t>20111</t>
  </si>
  <si>
    <t>석유화학계 기초화학물질 제조업</t>
  </si>
  <si>
    <t>Manufacture of Basic Organic Petrochemicals</t>
  </si>
  <si>
    <t>20112</t>
  </si>
  <si>
    <t>천연수지 및 나무화학물질 제조업</t>
  </si>
  <si>
    <t>Manufacture of Natural Gum and Wood Chemicals</t>
  </si>
  <si>
    <t>20119</t>
  </si>
  <si>
    <t>기타 기초유기화학물질 제조업</t>
  </si>
  <si>
    <t>Manufacture of Other Basic Organic Chemicals</t>
  </si>
  <si>
    <t>2012</t>
  </si>
  <si>
    <t>기초 무기화학물질 제조업</t>
  </si>
  <si>
    <t>Manufacture of Basic Inorganic Chemicals</t>
  </si>
  <si>
    <t>20121</t>
  </si>
  <si>
    <t>산업용 가스 제조업</t>
  </si>
  <si>
    <t>Manufacture of Industrial Gases</t>
  </si>
  <si>
    <t>20129</t>
  </si>
  <si>
    <t>기타 기초무기화학물질 제조업</t>
  </si>
  <si>
    <t>Manufacture of Other Basic Inorganic Chemicals</t>
  </si>
  <si>
    <t>2013</t>
  </si>
  <si>
    <t>무기안료, 염료, 유연제 및 기타착색제 제조업</t>
  </si>
  <si>
    <t>Manufacture of Dyes and Pigments</t>
  </si>
  <si>
    <t>20131</t>
  </si>
  <si>
    <t>무기안료 및 기타금속산화물 제조업</t>
  </si>
  <si>
    <t>Manufacture of Inorganic Pigments and Other Metal Oxides</t>
  </si>
  <si>
    <t>20132</t>
  </si>
  <si>
    <t>합성염료, 유연제 및 기타착색제 제조업</t>
  </si>
  <si>
    <t>Manufacture of Synthetic Colouring Matter, Tanning Materials and Other Coloring Agents</t>
  </si>
  <si>
    <t>202</t>
  </si>
  <si>
    <t>비료 및 질소화합물 제조업</t>
  </si>
  <si>
    <t>Manufacture of Fertilizers and Nitrogen Compounds</t>
  </si>
  <si>
    <t>2020</t>
  </si>
  <si>
    <t>20201</t>
  </si>
  <si>
    <t>질소, 인산 및 칼리질 비료 제조업</t>
  </si>
  <si>
    <t>Manufacture of Nitrogenous, Phosphatic and Potassic Fertilizers</t>
  </si>
  <si>
    <t>20202</t>
  </si>
  <si>
    <t>복합비료 제조업</t>
  </si>
  <si>
    <t>Manufacture of Composite Fertilizers</t>
  </si>
  <si>
    <t>20209</t>
  </si>
  <si>
    <t>기타 비료 및 질소화합물 제조업</t>
  </si>
  <si>
    <t>Manufacture of Other Fertilizers and Nitrogen Compounds</t>
  </si>
  <si>
    <t>203</t>
  </si>
  <si>
    <t>합성고무 및 플라스틱 물질 제조업</t>
  </si>
  <si>
    <t>Manufacture of Synthetic Rubber and of Plastics in Primary Forms</t>
  </si>
  <si>
    <t>2030</t>
  </si>
  <si>
    <t>20301</t>
  </si>
  <si>
    <t>합성고무 제조업</t>
  </si>
  <si>
    <t>Manufacture of Synthetic Rubber</t>
  </si>
  <si>
    <t>20302</t>
  </si>
  <si>
    <t>합성수지 및 기타 플라스틱물질 제조업</t>
  </si>
  <si>
    <t>Manufacture of Synthetic Resin and Other Plastic Materials</t>
  </si>
  <si>
    <t>20303</t>
  </si>
  <si>
    <t>가공 및 재생 플라스틱원료 생산업</t>
  </si>
  <si>
    <t>Manufacture of Compounded and Recycled Plastic Materials</t>
  </si>
  <si>
    <t>204</t>
  </si>
  <si>
    <t>기타 화학제품 제조업</t>
  </si>
  <si>
    <t>Manufacture of Other Chemical Products</t>
  </si>
  <si>
    <t>2041</t>
  </si>
  <si>
    <t>살충제 및 기타농약 제조업</t>
  </si>
  <si>
    <t>Manufacture of Pesticides and Other Agricultural Chemical Products</t>
  </si>
  <si>
    <t>20411</t>
  </si>
  <si>
    <t>가정용 살균 및 살충제 제조업</t>
  </si>
  <si>
    <t>Manufacture of Household Germicide and Insecticide</t>
  </si>
  <si>
    <t>20412</t>
  </si>
  <si>
    <t>농약 제조업</t>
  </si>
  <si>
    <t>Manufacture of Agricultural Chemical Products</t>
  </si>
  <si>
    <t>2042</t>
  </si>
  <si>
    <t>잉크, 페인트, 코팅제 및 유사제품 제조업</t>
  </si>
  <si>
    <t>Manufacture of Ink, Paint, Coating and Similar Products</t>
  </si>
  <si>
    <t>20421</t>
  </si>
  <si>
    <t>일반용 도료 및 관련제품 제조업</t>
  </si>
  <si>
    <t>Manufacture of General Paints and Similar Products</t>
  </si>
  <si>
    <t>20422</t>
  </si>
  <si>
    <t>요업용 유약 및 관련제품 제조업</t>
  </si>
  <si>
    <t>Manufacture of Ceramic Enamels and Related Products</t>
  </si>
  <si>
    <t>20423</t>
  </si>
  <si>
    <t>인쇄잉크 제조업</t>
  </si>
  <si>
    <t>Manufacture of Printing Ink</t>
  </si>
  <si>
    <t>20424</t>
  </si>
  <si>
    <t>회화용 물감 제조업</t>
  </si>
  <si>
    <t>Manufacture of Artists' Colours</t>
  </si>
  <si>
    <t>2043</t>
  </si>
  <si>
    <t>세제, 화장품 및 광택제 제조업</t>
  </si>
  <si>
    <t>Manufacture of Cleaning Materials, Cosmetics and Polish</t>
  </si>
  <si>
    <t>20431</t>
  </si>
  <si>
    <t>계면활성제 제조업</t>
  </si>
  <si>
    <t>Manufacture of Surface-Active Agents</t>
  </si>
  <si>
    <t>20432</t>
  </si>
  <si>
    <t>치약, 비누 및 기타 세제 제조업</t>
  </si>
  <si>
    <t>Manufacture of Toothpaste, Soap and Synthetic Detergents</t>
  </si>
  <si>
    <t>20433</t>
  </si>
  <si>
    <t>화장품 제조업</t>
  </si>
  <si>
    <t>Manufacture of Perfumes and Cosmetics</t>
  </si>
  <si>
    <t>20434</t>
  </si>
  <si>
    <t>표면광택제 및 실내가향제 제조업</t>
  </si>
  <si>
    <t>Manufacture of Wax, Polish and Preparations for Perfuming or Deodorizing Room</t>
  </si>
  <si>
    <t>2049</t>
  </si>
  <si>
    <t>그외 기타 화학제품 제조업</t>
  </si>
  <si>
    <t>Manufacture of Other Chemical Products n.e.c.</t>
  </si>
  <si>
    <t>20491</t>
  </si>
  <si>
    <t>사진용 화학제품 및 감광재료 제조업</t>
  </si>
  <si>
    <t>Manufacture of Chemical Preparations for Photograph and Sensitized Materials</t>
  </si>
  <si>
    <t>20492</t>
  </si>
  <si>
    <t>가공 및 정제염 제조업</t>
  </si>
  <si>
    <t>Manufacture of Processed and Refined Salt</t>
  </si>
  <si>
    <t>20493</t>
  </si>
  <si>
    <t>접착제 및 젤라틴 제조업</t>
  </si>
  <si>
    <t>Manufacture of Adhesives and Gelatin</t>
  </si>
  <si>
    <t>20494</t>
  </si>
  <si>
    <t>화약 및 불꽃제품 제조업</t>
  </si>
  <si>
    <t>Manufacture of Explosives and Pyrotechnic Products</t>
  </si>
  <si>
    <t>20499</t>
  </si>
  <si>
    <t>그외 기타 분류안된 화학제품 제조업</t>
  </si>
  <si>
    <t>Manufacture of All Other Chemical Products n.e.c.</t>
  </si>
  <si>
    <t>205</t>
  </si>
  <si>
    <t>화학섬유 제조업</t>
  </si>
  <si>
    <t>Manufacture of Man-Made Fibers</t>
  </si>
  <si>
    <t>2050</t>
  </si>
  <si>
    <t>20501</t>
  </si>
  <si>
    <t>합성섬유 제조업</t>
  </si>
  <si>
    <t>Manufacture of Synthetic Fibers</t>
  </si>
  <si>
    <t>20502</t>
  </si>
  <si>
    <t>재생섬유 제조업</t>
  </si>
  <si>
    <t>Manufacture of Regenerated Organic Fibers</t>
  </si>
  <si>
    <t>21</t>
  </si>
  <si>
    <t>의료용 물질 및 의약품 제조업</t>
  </si>
  <si>
    <t>Manufacture of Pharmaceuticals, Medicinal Chemicals and Botanical Products</t>
  </si>
  <si>
    <t>211</t>
  </si>
  <si>
    <t>기초 의약물질 및 생물학적 제제 제조업</t>
  </si>
  <si>
    <t>Manufacture of Medicinal Chemicals, Antibiotics and Biological Products</t>
  </si>
  <si>
    <t>2110</t>
  </si>
  <si>
    <t>21101</t>
  </si>
  <si>
    <t>의약용 화합물 및 항생물질 제조업</t>
  </si>
  <si>
    <t>Manufacture of Medicinal Chemicals and Antibiotics</t>
  </si>
  <si>
    <t>21102</t>
  </si>
  <si>
    <t>생물학적 제제 제조업</t>
  </si>
  <si>
    <t>Manufacture of Biological Products</t>
  </si>
  <si>
    <t>212</t>
  </si>
  <si>
    <t>의약품 제조업</t>
  </si>
  <si>
    <t>Manufacture of Medicaments</t>
  </si>
  <si>
    <t>2121</t>
  </si>
  <si>
    <t>완제 의약품 제조업</t>
  </si>
  <si>
    <t>Manufacture of Finished Medicaments</t>
  </si>
  <si>
    <t>21210</t>
  </si>
  <si>
    <t>2122</t>
  </si>
  <si>
    <t>한의약품 제조업</t>
  </si>
  <si>
    <t>Manufacture of Herb Medicaments</t>
  </si>
  <si>
    <t>21220</t>
  </si>
  <si>
    <t>2123</t>
  </si>
  <si>
    <t>동물용 의약품 제조업</t>
  </si>
  <si>
    <t>Manufacture of Animal Medicaments</t>
  </si>
  <si>
    <t>21230</t>
  </si>
  <si>
    <t>213</t>
  </si>
  <si>
    <t>의료용품 및 기타 의약관련제품 제조업</t>
  </si>
  <si>
    <t>Manufacture of Pharmaceutical Goods Other Than Medicaments</t>
  </si>
  <si>
    <t>2130</t>
  </si>
  <si>
    <t>21300</t>
  </si>
  <si>
    <t>22</t>
  </si>
  <si>
    <t>고무제품 및 플라스틱제품 제조업</t>
  </si>
  <si>
    <t>Manufacture of Rubber and Plastic Products</t>
  </si>
  <si>
    <t>221</t>
  </si>
  <si>
    <t>고무제품 제조업</t>
  </si>
  <si>
    <t>Manufacture of Rubber Products</t>
  </si>
  <si>
    <t>2211</t>
  </si>
  <si>
    <t>고무 타이어 및 튜브 생산업</t>
  </si>
  <si>
    <t>Production of Rubber Tires and Tubes; Rebuilding of Rubber Tires</t>
  </si>
  <si>
    <t>22111</t>
  </si>
  <si>
    <t>타이어 및 튜브 제조업</t>
  </si>
  <si>
    <t>Manufacture of Tires and Tubes</t>
  </si>
  <si>
    <t>22112</t>
  </si>
  <si>
    <t>타이어 재생업</t>
  </si>
  <si>
    <t>Rebuilding of Tires</t>
  </si>
  <si>
    <t>2219</t>
  </si>
  <si>
    <t>기타 고무제품 제조업</t>
  </si>
  <si>
    <t>Manufacture of Other Rubber Products</t>
  </si>
  <si>
    <t>22191</t>
  </si>
  <si>
    <t>산업용 비경화고무제품 제조업</t>
  </si>
  <si>
    <t>Manufacture of Industrial Un-vulcanized Rubber Products</t>
  </si>
  <si>
    <t>22192</t>
  </si>
  <si>
    <t>고무의류 및 기타 위생용 고무제품 제조업</t>
  </si>
  <si>
    <t>Manufacture of Apparel and Other Hygienic Articles of Rubber</t>
  </si>
  <si>
    <t>22199</t>
  </si>
  <si>
    <t>그외 기타 고무제품 제조업</t>
  </si>
  <si>
    <t>Manufacture of Other Rubber Products n.e.c.</t>
  </si>
  <si>
    <t>222</t>
  </si>
  <si>
    <t>플라스틱제품 제조업</t>
  </si>
  <si>
    <t>Manufacture of Plastic Products</t>
  </si>
  <si>
    <t>2221</t>
  </si>
  <si>
    <t>1차 플라스틱제품 제조업</t>
  </si>
  <si>
    <t>Manufacture of Primary Plastic Products</t>
  </si>
  <si>
    <t>22211</t>
  </si>
  <si>
    <t>플라스틱 선, 봉, 관 및 호스 제조업</t>
  </si>
  <si>
    <t>Manufacture of Plastic Bars, Pipes, Tubes and Hoses</t>
  </si>
  <si>
    <t>22212</t>
  </si>
  <si>
    <t>플라스틱 필름, 시트 및 판 제조업</t>
  </si>
  <si>
    <t>Manufacture of Plastic Films, Sheets and Plates</t>
  </si>
  <si>
    <t>22213</t>
  </si>
  <si>
    <t>플라스틱 합성피혁 제조업</t>
  </si>
  <si>
    <t>Manufacture of Plastics Synthetic Leather</t>
  </si>
  <si>
    <t>2222</t>
  </si>
  <si>
    <t>건축용 플라스틱제품 제조업</t>
  </si>
  <si>
    <t>Manufacture of Plastic Products for Building</t>
  </si>
  <si>
    <t>22221</t>
  </si>
  <si>
    <t>벽 및 바닥 피복용 플라스틱제품 제조업</t>
  </si>
  <si>
    <t>Manufacture of Wall and Floor Coverings of Plastics</t>
  </si>
  <si>
    <t>22222</t>
  </si>
  <si>
    <t>저장용 및 위생용 플라스틱제품 제조업</t>
  </si>
  <si>
    <t>Manufacture of Plastic Products for Preservation and Sanitation</t>
  </si>
  <si>
    <t>22223</t>
  </si>
  <si>
    <t>플라스틱 창호 제조업</t>
  </si>
  <si>
    <t>Manufacture of Plastic Windows and Doors</t>
  </si>
  <si>
    <t>22229</t>
  </si>
  <si>
    <t>기타 건축용 플라스틱 조립제품 제조업</t>
  </si>
  <si>
    <t>Manufacture of Other Fabricated Structural Plastic Products</t>
  </si>
  <si>
    <t>2223</t>
  </si>
  <si>
    <t>포장용 플라스틱제품 제조업</t>
  </si>
  <si>
    <t>Manufacture of Packaging Plastic Products</t>
  </si>
  <si>
    <t>22231</t>
  </si>
  <si>
    <t>플라스틱 포대, 봉투 및 유사제품 제조업</t>
  </si>
  <si>
    <t>Manufacture of Plastic Sacks, Bags and Similar Products</t>
  </si>
  <si>
    <t>22232</t>
  </si>
  <si>
    <t>포장용 플라스틱 성형용기 제조업</t>
  </si>
  <si>
    <t>Manufacture of Packaging Plastics and Shipping Containers</t>
  </si>
  <si>
    <t>2224</t>
  </si>
  <si>
    <t>기계장비 조립용 플라스틱제품 제조업</t>
  </si>
  <si>
    <t>Manufacture of Plastic Products for Fabricating of Machine</t>
  </si>
  <si>
    <t>22240</t>
  </si>
  <si>
    <t>2225</t>
  </si>
  <si>
    <t>플라스틱 발포 성형제품 제조업</t>
  </si>
  <si>
    <t>Manufacture of Foamed Plastic Products</t>
  </si>
  <si>
    <t>22250</t>
  </si>
  <si>
    <t>2229</t>
  </si>
  <si>
    <t>기타 플라스틱제품 제조업</t>
  </si>
  <si>
    <t>Manufacture of Other Plastic Products</t>
  </si>
  <si>
    <t>22291</t>
  </si>
  <si>
    <t>플라스틱  적층, 도포 및 기타 표면처리 제품 제조업</t>
  </si>
  <si>
    <t>Manufacture of Plastic Laminating, Coating and Other Surface Processing Products</t>
  </si>
  <si>
    <t>22299</t>
  </si>
  <si>
    <t>그외 기타 플라스틱 제품 제조업</t>
  </si>
  <si>
    <t>Manufacture of Other Plastic Products n.e.c.</t>
  </si>
  <si>
    <t>23</t>
  </si>
  <si>
    <t>비금속 광물제품 제조업</t>
  </si>
  <si>
    <t>Manufacture of Other Non-metallic Mineral Products</t>
  </si>
  <si>
    <t>231</t>
  </si>
  <si>
    <t>유리 및 유리제품 제조업</t>
  </si>
  <si>
    <t>Manufacture of Glass and Glass Products</t>
  </si>
  <si>
    <t>2311</t>
  </si>
  <si>
    <t>판유리 제조업</t>
  </si>
  <si>
    <t>Manufacture of Plate Glass</t>
  </si>
  <si>
    <t>23110</t>
  </si>
  <si>
    <t>2312</t>
  </si>
  <si>
    <t>산업용 유리 및 판유리 가공품 제조업</t>
  </si>
  <si>
    <t>Manufacture of Industrial Glass and Plate Glass</t>
  </si>
  <si>
    <t>23121</t>
  </si>
  <si>
    <t>유리섬유 및 광학용 유리 제조업</t>
  </si>
  <si>
    <t>Manufacture of Glass Fibers and Optical Glass</t>
  </si>
  <si>
    <t>23122</t>
  </si>
  <si>
    <t>판유리 가공품 제조업</t>
  </si>
  <si>
    <t>Manufacture of Products Made of Purchased Plate Glass</t>
  </si>
  <si>
    <t>23129</t>
  </si>
  <si>
    <t>기타 산업용 유리제품 제조업</t>
  </si>
  <si>
    <t>Manufacture of Laboratory and Other Industrial Glassware</t>
  </si>
  <si>
    <t>2319</t>
  </si>
  <si>
    <t>기타 유리제품 제조업</t>
  </si>
  <si>
    <t>Manufacture of Other Glass Products</t>
  </si>
  <si>
    <t>23191</t>
  </si>
  <si>
    <t>가정용 유리제품 제조업</t>
  </si>
  <si>
    <t>Manufacture of Household Glassware</t>
  </si>
  <si>
    <t>23192</t>
  </si>
  <si>
    <t>포장용 유리용기 제조업</t>
  </si>
  <si>
    <t>Manufacture of Glass Containers Blown or Pressed</t>
  </si>
  <si>
    <t>23199</t>
  </si>
  <si>
    <t>그외 기타 유리제품 제조업</t>
  </si>
  <si>
    <t>Manufacture of All Other Glass and its Products n.e.c.</t>
  </si>
  <si>
    <t>232</t>
  </si>
  <si>
    <t>도자기 및 기타 요업제품 제조업</t>
  </si>
  <si>
    <t>Manufacture of Ceramic Ware</t>
  </si>
  <si>
    <t>2321</t>
  </si>
  <si>
    <t>일반도자기 제조업</t>
  </si>
  <si>
    <t>Manufacture of Non-structural, Non-refractory Ceramic Ware</t>
  </si>
  <si>
    <t>23211</t>
  </si>
  <si>
    <t>가정용 및 장식용 도자기 제조업</t>
  </si>
  <si>
    <t>Manufacture of Pottery and Ceramic Household or Ornamental Ware</t>
  </si>
  <si>
    <t>23212</t>
  </si>
  <si>
    <t>위생용 도자기 제조업</t>
  </si>
  <si>
    <t>Manufacture of Sanitary Ceramic Ware</t>
  </si>
  <si>
    <t>23213</t>
  </si>
  <si>
    <t>산업용 도자기 제조업</t>
  </si>
  <si>
    <t>Manufacture of Industrial Ceramic Ware</t>
  </si>
  <si>
    <t>23219</t>
  </si>
  <si>
    <t>기타 일반 도자기 제조업</t>
  </si>
  <si>
    <t>Manufacture of Other Non-structural, Non-refractory Ceramic Ware</t>
  </si>
  <si>
    <t>2322</t>
  </si>
  <si>
    <t>내화 요업제품 제조업</t>
  </si>
  <si>
    <t>Manufacture of Refractory Ceramic Products</t>
  </si>
  <si>
    <t>23221</t>
  </si>
  <si>
    <t>구조용 정형내화제품 제조업</t>
  </si>
  <si>
    <t>Manufacture of Structural Refractory Ceramic Products</t>
  </si>
  <si>
    <t>23229</t>
  </si>
  <si>
    <t>기타 내화요업제품 제조업</t>
  </si>
  <si>
    <t>Manufacture of Other Refractory Ceramic Products</t>
  </si>
  <si>
    <t>2323</t>
  </si>
  <si>
    <t>구조용 비내화 요업제품 제조업</t>
  </si>
  <si>
    <t>Manufacture of Structural Non- refractory Clay and Ceramic Products</t>
  </si>
  <si>
    <t>23231</t>
  </si>
  <si>
    <t>점토 벽돌, 블록 및 유사 비내화 요업제품 제조업</t>
  </si>
  <si>
    <t>Manufacture of Non Refractory Ceramic Building Bricks, Flooring Blocks and Similar Products</t>
  </si>
  <si>
    <t>23232</t>
  </si>
  <si>
    <t>타일 및 유사 비내화 요업제품 제조업</t>
  </si>
  <si>
    <t>Manufacture of Ceramic Tiles and Similar Products</t>
  </si>
  <si>
    <t>23239</t>
  </si>
  <si>
    <t>기타 구조용 비내화 요업제품 제조업</t>
  </si>
  <si>
    <t>Manufacture of Other Structural Non-refractory Clay and Ceramic Products</t>
  </si>
  <si>
    <t>233</t>
  </si>
  <si>
    <t>시멘트, 석회, 플라스터 및 그 제품 제조업</t>
  </si>
  <si>
    <t>Manufacture of Cement, Lime and Plaster and Its Products</t>
  </si>
  <si>
    <t>2331</t>
  </si>
  <si>
    <t>시멘트, 석회 및 플라스터 제조업</t>
  </si>
  <si>
    <t>Manufacture of Cement, Lime and Plaster</t>
  </si>
  <si>
    <t>23311</t>
  </si>
  <si>
    <t>시멘트 제조업</t>
  </si>
  <si>
    <t>Manufacture of Cement</t>
  </si>
  <si>
    <t>23312</t>
  </si>
  <si>
    <t>석회 및 플라스터 제조업</t>
  </si>
  <si>
    <t>Manufacture of Lime and Plaster</t>
  </si>
  <si>
    <t>2332</t>
  </si>
  <si>
    <t>콘크리트, 시멘트 및 플라스터 제품 제조업</t>
  </si>
  <si>
    <t>Manufacture of Articles of Concrete, Cement and Plaster</t>
  </si>
  <si>
    <t>23321</t>
  </si>
  <si>
    <t>비내화 모르타르 제조업</t>
  </si>
  <si>
    <t>Manufacture of Non-refractory Mortar</t>
  </si>
  <si>
    <t>23322</t>
  </si>
  <si>
    <t>레미콘 제조업</t>
  </si>
  <si>
    <t>Manufacture of Ready-Mix Concrete</t>
  </si>
  <si>
    <t>23323</t>
  </si>
  <si>
    <t>플라스터 제품 제조업</t>
  </si>
  <si>
    <t>Manufacture of Plaster Products</t>
  </si>
  <si>
    <t>23324</t>
  </si>
  <si>
    <t>섬유시멘트 제품 제조업</t>
  </si>
  <si>
    <t>Manufacture of Cellulose Fiber Cement Products</t>
  </si>
  <si>
    <t>23325</t>
  </si>
  <si>
    <t>콘크리트 타일, 기와, 벽돌 및 블록 제조업</t>
  </si>
  <si>
    <t>Manufacture of Concrete Roofing Tiles, Bricks and Blocks</t>
  </si>
  <si>
    <t>23326</t>
  </si>
  <si>
    <t>콘크리트관 및 기타 구조용 콘크리트제품 제조업</t>
  </si>
  <si>
    <t>Manufacture of Concrete Pipes and Structral Component Concrete Products</t>
  </si>
  <si>
    <t>23329</t>
  </si>
  <si>
    <t>그외 기타 콘크리트 제품 및 유사제품 제조업</t>
  </si>
  <si>
    <t>Manufacture of Other Concrete and Similar Products n. e. c.</t>
  </si>
  <si>
    <t>239</t>
  </si>
  <si>
    <t>기타 비금속 광물제품 제조업</t>
  </si>
  <si>
    <t>2391</t>
  </si>
  <si>
    <t>석제품 제조업</t>
  </si>
  <si>
    <t>Cutting, Shaping and Finishing of Stone</t>
  </si>
  <si>
    <t>23911</t>
  </si>
  <si>
    <t>건설용 석제품 제조업</t>
  </si>
  <si>
    <t>Manufacture of Stone Products for Construction</t>
  </si>
  <si>
    <t>23919</t>
  </si>
  <si>
    <t>기타 석제품 제조업</t>
  </si>
  <si>
    <t>Manufacture of Other Stone Products</t>
  </si>
  <si>
    <t>2399</t>
  </si>
  <si>
    <t>그외 기타 비금속 광물제품 제조업</t>
  </si>
  <si>
    <t>Manufacture of Other Non-metallic Mineral Products n. e. c.</t>
  </si>
  <si>
    <t>23991</t>
  </si>
  <si>
    <t>아스콘 제조업</t>
  </si>
  <si>
    <t>Manufacture of Ready-Mix Asphalt Concrete</t>
  </si>
  <si>
    <t>23992</t>
  </si>
  <si>
    <t>연마재 제조업</t>
  </si>
  <si>
    <t>Manufacture of Abrasive Articles</t>
  </si>
  <si>
    <t>23993</t>
  </si>
  <si>
    <t>비금속광물 분쇄물 생산업</t>
  </si>
  <si>
    <t>Manufacture of Non-metallic Crushed Mineral Products</t>
  </si>
  <si>
    <t>23994</t>
  </si>
  <si>
    <t>석면, 암면 및 유사제품 제조업</t>
  </si>
  <si>
    <t>Manufacture of Asbestos, Mineral Wools and Other Similar Products</t>
  </si>
  <si>
    <t>23999</t>
  </si>
  <si>
    <t>그외 기타 분류안된 비금속 광물제품 제조업</t>
  </si>
  <si>
    <t>Manufacture of Other Unclassified Non-metallic Minerals n. e. c.</t>
  </si>
  <si>
    <t>24</t>
  </si>
  <si>
    <t>1차 금속 제조업</t>
  </si>
  <si>
    <t>Manufacture of Basic Metal Products</t>
  </si>
  <si>
    <t>241</t>
  </si>
  <si>
    <t>1차 철강 제조업</t>
  </si>
  <si>
    <t>Manufacture of Basic Iron and Steel</t>
  </si>
  <si>
    <t>2411</t>
  </si>
  <si>
    <t>제철, 제강 및 합금철 제조업</t>
  </si>
  <si>
    <t>Manufacture of Basic Iron, Steel and Ferro-Alloys</t>
  </si>
  <si>
    <t>24111</t>
  </si>
  <si>
    <t>제철업</t>
  </si>
  <si>
    <t>Manufacture of Basic Iron</t>
  </si>
  <si>
    <t>24112</t>
  </si>
  <si>
    <t>제강업</t>
  </si>
  <si>
    <t>Manufacture of Basic Steel</t>
  </si>
  <si>
    <t>24113</t>
  </si>
  <si>
    <t>합금철 제조업</t>
  </si>
  <si>
    <t>Manufacture of Ferro-Alloys</t>
  </si>
  <si>
    <t>24119</t>
  </si>
  <si>
    <t>기타 제철 및 제강업</t>
  </si>
  <si>
    <t>Manufacture of Other Basic Iron and Steel</t>
  </si>
  <si>
    <t>2412</t>
  </si>
  <si>
    <t>철강 압연, 압출 및 연신제품 제조업</t>
  </si>
  <si>
    <t>Manufacture of Rolled, Drawn and Folded Products of Iron or Steel</t>
  </si>
  <si>
    <t>24121</t>
  </si>
  <si>
    <t>열간 압연 및 압출 제품 제조업</t>
  </si>
  <si>
    <t>Manufacture of Hot Rolled, Drawn and Extruded Iron or Steel Products</t>
  </si>
  <si>
    <t>24122</t>
  </si>
  <si>
    <t>냉간 압연 및 압출 제품 제조업</t>
  </si>
  <si>
    <t>Manufacture of Cold Rolled, Drawn and Extruded Iron or Steel Products</t>
  </si>
  <si>
    <t>24123</t>
  </si>
  <si>
    <t>철강선 제조업</t>
  </si>
  <si>
    <t>Manufacture of Steel Wire</t>
  </si>
  <si>
    <t>2413</t>
  </si>
  <si>
    <t>철강관 제조업</t>
  </si>
  <si>
    <t>Manufacture of Pipes, Tubes and Hollow Profiles, of Iron or Steel</t>
  </si>
  <si>
    <t>24131</t>
  </si>
  <si>
    <t>주철관 제조업</t>
  </si>
  <si>
    <t>Manufacture of Tubes and Pipes of Cast Iron or Cast Steel</t>
  </si>
  <si>
    <t>24132</t>
  </si>
  <si>
    <t>강관 제조업</t>
  </si>
  <si>
    <t>Manufacture of Pipes and Tubes, of Non-cast Iron or Steel</t>
  </si>
  <si>
    <t>2419</t>
  </si>
  <si>
    <t>기타 1차 철강 제조업</t>
  </si>
  <si>
    <t>24191</t>
  </si>
  <si>
    <t>도금, 착색 및 기타 표면처리강재 제조업</t>
  </si>
  <si>
    <t>Manufacture of Guilt, Coloration, Surface Processing Steel Materials</t>
  </si>
  <si>
    <t>24199</t>
  </si>
  <si>
    <t>그외 기타 1차 철강 제조업</t>
  </si>
  <si>
    <t>Manufacture of Other Basic Iron and Steel n. e. c.</t>
  </si>
  <si>
    <t>242</t>
  </si>
  <si>
    <t>1차 비철금속 제조업</t>
  </si>
  <si>
    <t>Manufacture of Basic Precious and Non-ferrous Metals</t>
  </si>
  <si>
    <t>2421</t>
  </si>
  <si>
    <t>비철금속 제련, 정련 및 합금 제조업</t>
  </si>
  <si>
    <t>Manufacture of Smelting, Refining and Alloys of Non-ferrous Metals</t>
  </si>
  <si>
    <t>24211</t>
  </si>
  <si>
    <t>동 제련, 정련 및 합금 제조업</t>
  </si>
  <si>
    <t>Manufacture of Smelting, Refining and Alloys of Copper</t>
  </si>
  <si>
    <t>24212</t>
  </si>
  <si>
    <t>알루미늄 제련, 정련 및 합금 제조업</t>
  </si>
  <si>
    <t>Manufacture of Smelting, Refining and Alloys of Aluminum</t>
  </si>
  <si>
    <t>24213</t>
  </si>
  <si>
    <t>연 및 아연 제련, 정련 및 합금 제조업</t>
  </si>
  <si>
    <t>Manufacture of Smelting, Refining and Alloys of Lead, Zinc and Tin</t>
  </si>
  <si>
    <t>24219</t>
  </si>
  <si>
    <t>기타 비철금속 제련, 정련 및 합금 제조업</t>
  </si>
  <si>
    <t>Manufacture of Other Smelting, Refining and Alloys of Non-ferrous Metals</t>
  </si>
  <si>
    <t>2422</t>
  </si>
  <si>
    <t>비철금속 압연, 압출 및 연신제품 제조업</t>
  </si>
  <si>
    <t>Manufacture of Rolled, Drawn and Folded Products of Non-ferrous Metals</t>
  </si>
  <si>
    <t>24221</t>
  </si>
  <si>
    <t>동 압연, 압출 및 연신제품 제조업</t>
  </si>
  <si>
    <t>Manufacture of Rolled, Drawn and Folded Products of Copper</t>
  </si>
  <si>
    <t>24222</t>
  </si>
  <si>
    <t>알루미늄 압연, 압출 및 연신제품 제조업</t>
  </si>
  <si>
    <t>Manufacture of Rolled, Drawn and Folded Products of Aluminum</t>
  </si>
  <si>
    <t>24229</t>
  </si>
  <si>
    <t>기타 비철금속 압연, 압출 및 연신제품 제조업</t>
  </si>
  <si>
    <t>Rolling, Drawing and Extruding of Non-ferrous Metals n.e.c.</t>
  </si>
  <si>
    <t>2429</t>
  </si>
  <si>
    <t>기타 1차 비철금속 제조업</t>
  </si>
  <si>
    <t>Manufacture of Other Basic Precious and Non-ferrous Metals</t>
  </si>
  <si>
    <t>24290</t>
  </si>
  <si>
    <t>243</t>
  </si>
  <si>
    <t>금속 주조업</t>
  </si>
  <si>
    <t>Cast of Metals</t>
  </si>
  <si>
    <t>2431</t>
  </si>
  <si>
    <t>철강 주조업</t>
  </si>
  <si>
    <t>Cast of Iron and Steel</t>
  </si>
  <si>
    <t>24311</t>
  </si>
  <si>
    <t>선철주물 주조업</t>
  </si>
  <si>
    <t>Gray and Malleable Iron Foundries</t>
  </si>
  <si>
    <t>24312</t>
  </si>
  <si>
    <t>강주물 주조업</t>
  </si>
  <si>
    <t>Steel Foundries</t>
  </si>
  <si>
    <t>2432</t>
  </si>
  <si>
    <t>비철금속 주조업</t>
  </si>
  <si>
    <t>Cast of Non-ferrous Metals</t>
  </si>
  <si>
    <t>24321</t>
  </si>
  <si>
    <t>알루미늄주물 주조업</t>
  </si>
  <si>
    <t>Aluminum Foundries</t>
  </si>
  <si>
    <t>24322</t>
  </si>
  <si>
    <t>동주물 주조업</t>
  </si>
  <si>
    <t>Copper Foundries</t>
  </si>
  <si>
    <t>24329</t>
  </si>
  <si>
    <t>기타 비철금속 주조업</t>
  </si>
  <si>
    <t>Other Cast of Non-ferrous Metals</t>
  </si>
  <si>
    <t>25</t>
  </si>
  <si>
    <t>금속가공제품 제조업;기계 및 가구 제외</t>
  </si>
  <si>
    <t>Manufacture of Fabricated Metal Products, Except Machinery and Furniture</t>
  </si>
  <si>
    <t>251</t>
  </si>
  <si>
    <t>구조용 금속제품, 탱크 및 증기발생기 제조업</t>
  </si>
  <si>
    <t>Manufacture of Structural Metal Products, Tanks, Reservoirs and Steam Generators</t>
  </si>
  <si>
    <t>2511</t>
  </si>
  <si>
    <t>구조용 금속제품 제조업</t>
  </si>
  <si>
    <t>Manufacture of Structural Metal Products</t>
  </si>
  <si>
    <t>25111</t>
  </si>
  <si>
    <t>금속 문, 창, 셔터 및 관련제품 제조업</t>
  </si>
  <si>
    <t>Manufacture of Metal Doors, Windows,  Shutters and Related Products</t>
  </si>
  <si>
    <t>25112</t>
  </si>
  <si>
    <t>구조용 금속판제품 및 금속공작물 제조업</t>
  </si>
  <si>
    <t>Manufacture of Structural Metal Sheet Products and Ornamental Metal Works Used on Building</t>
  </si>
  <si>
    <t>25113</t>
  </si>
  <si>
    <t>금속 조립구조재 제조업</t>
  </si>
  <si>
    <t>Manufacture of Metal Structural Components</t>
  </si>
  <si>
    <t>25119</t>
  </si>
  <si>
    <t>기타 구조용 금속제품 제조업</t>
  </si>
  <si>
    <t>Manufacture of Other Structural Metal Products</t>
  </si>
  <si>
    <t>2512</t>
  </si>
  <si>
    <t>금속탱크, 저장조 및 유사 용기 제조업</t>
  </si>
  <si>
    <t>Manufacture of Tanks, Reservoirs and Containers of Metals</t>
  </si>
  <si>
    <t>25121</t>
  </si>
  <si>
    <t>중앙난방보일러 및 방열기 제조업</t>
  </si>
  <si>
    <t>Manufacture of Central Heating Boilers and Radiators</t>
  </si>
  <si>
    <t>25122</t>
  </si>
  <si>
    <t>설치용 금속탱크 및 저장용기 제조업</t>
  </si>
  <si>
    <t>Manufacture of Installed Tanks and Reservoirs</t>
  </si>
  <si>
    <t>2513</t>
  </si>
  <si>
    <t>핵반응기 및 증기발생기 제조업</t>
  </si>
  <si>
    <t>Manufacture of Nuclear Reactors and Steam Generators, Except Central Heating Hot Water Boilers</t>
  </si>
  <si>
    <t>25130</t>
  </si>
  <si>
    <t>Manufacture of Nuclear Reactors and Steam Generators</t>
  </si>
  <si>
    <t>252</t>
  </si>
  <si>
    <t>무기 및 총포탄 제조업</t>
  </si>
  <si>
    <t>Manufacture of Weapons and Ammunition</t>
  </si>
  <si>
    <t>2520</t>
  </si>
  <si>
    <t>25200</t>
  </si>
  <si>
    <t>259</t>
  </si>
  <si>
    <t>기타 금속가공제품 제조업</t>
  </si>
  <si>
    <t>Manufacture of Other Metal Products; Metal Working Service Activities</t>
  </si>
  <si>
    <t>2591</t>
  </si>
  <si>
    <t>금속 단조, 압형 및 분말야금 제품 제조업</t>
  </si>
  <si>
    <t>Forging, Pressing, Stamping and Roll-Forming of Metal ; Powder Metallurgy</t>
  </si>
  <si>
    <t>25911</t>
  </si>
  <si>
    <t>분말야금제품 제조업</t>
  </si>
  <si>
    <t>Manufacture of Powder Metallurgic Products</t>
  </si>
  <si>
    <t>25912</t>
  </si>
  <si>
    <t>금속단조제품 제조업</t>
  </si>
  <si>
    <t>Forging of Metal</t>
  </si>
  <si>
    <t>25913</t>
  </si>
  <si>
    <t>금속압형제품 제조업</t>
  </si>
  <si>
    <t>Manufacture of Metal Pressed and Stamped Products</t>
  </si>
  <si>
    <t>2592</t>
  </si>
  <si>
    <t>금속 열처리, 도금 및 기타 금속가공업</t>
  </si>
  <si>
    <t>Treatment and Coating of Metals</t>
  </si>
  <si>
    <t>25921</t>
  </si>
  <si>
    <t>금속 열처리업</t>
  </si>
  <si>
    <t>Heat Treatment of Metals</t>
  </si>
  <si>
    <t>25922</t>
  </si>
  <si>
    <t>도금업</t>
  </si>
  <si>
    <t>Plating and Anodizing of Metals</t>
  </si>
  <si>
    <t>25923</t>
  </si>
  <si>
    <t>도장 및 기타 피막처리업</t>
  </si>
  <si>
    <t>Coating and Similar Treatment of Metals</t>
  </si>
  <si>
    <t>25924</t>
  </si>
  <si>
    <t>절삭가공 및 유사처리업</t>
  </si>
  <si>
    <t>Engraving, Cutting and Similar Processing of Metals or Other Materials</t>
  </si>
  <si>
    <t>25929</t>
  </si>
  <si>
    <t>그외 기타 금속가공업</t>
  </si>
  <si>
    <t>Other Treatment and Coating of Metals n.e. c.</t>
  </si>
  <si>
    <t>2593</t>
  </si>
  <si>
    <t>날붙이, 수공구 및 일반철물 제조업</t>
  </si>
  <si>
    <t>Manufacture of Cutlery, Hand Tools and General Hardware</t>
  </si>
  <si>
    <t>25931</t>
  </si>
  <si>
    <t>날붙이 제조업</t>
  </si>
  <si>
    <t>Manufacture of Cutlery</t>
  </si>
  <si>
    <t>25932</t>
  </si>
  <si>
    <t>일반철물 제조업</t>
  </si>
  <si>
    <t>Manufacture of General Hardware</t>
  </si>
  <si>
    <t>25933</t>
  </si>
  <si>
    <t>비동력식 수공구 제조업</t>
  </si>
  <si>
    <t>Manufacture of Cutlery, Non-Power Method Hand Tools</t>
  </si>
  <si>
    <t>25934</t>
  </si>
  <si>
    <t>톱 및 호환성공구 제조업</t>
  </si>
  <si>
    <t>Manufacture of Saws, Saw Blades and Interchangeable Tools</t>
  </si>
  <si>
    <t>2594</t>
  </si>
  <si>
    <t>금속파스너, 스프링 및 금속선 가공제품 제조업</t>
  </si>
  <si>
    <t>Manufacture of Metal Fasteners, Springs and Articles Made from Metal Wires</t>
  </si>
  <si>
    <t>25941</t>
  </si>
  <si>
    <t>금속파스너 및 나사제품 제조업</t>
  </si>
  <si>
    <t>Manufacture of Metal Fasteners and Screw Products</t>
  </si>
  <si>
    <t>25942</t>
  </si>
  <si>
    <t>금속 스프링 제조업</t>
  </si>
  <si>
    <t>Manufacture of Metal Springs</t>
  </si>
  <si>
    <t>25943</t>
  </si>
  <si>
    <t>금속선 가공제품 제조업</t>
  </si>
  <si>
    <t>Manufacture of Articles Made from Metal Wires</t>
  </si>
  <si>
    <t>2599</t>
  </si>
  <si>
    <t>그외 기타 금속가공제품 제조업</t>
  </si>
  <si>
    <t>Manufacture of Febricated and Processed Metal Products</t>
  </si>
  <si>
    <t>25991</t>
  </si>
  <si>
    <t>금속캔 및 기타 포장용기 제조업</t>
  </si>
  <si>
    <t>Manufacture of Metal Cans and Shipping Containers</t>
  </si>
  <si>
    <t>25992</t>
  </si>
  <si>
    <t>금고 제조업</t>
  </si>
  <si>
    <t>Manufacture of Safes</t>
  </si>
  <si>
    <t>25993</t>
  </si>
  <si>
    <t>수동식 식품 가공기기 및 금속주방용기 제조업</t>
  </si>
  <si>
    <t>Manufacture of Hand-Operated Kitchen Appliances and Metal Ware</t>
  </si>
  <si>
    <t>25994</t>
  </si>
  <si>
    <t>금속위생용품 제조업</t>
  </si>
  <si>
    <t>Manufacture of Metal Sanitary Ware</t>
  </si>
  <si>
    <t>25995</t>
  </si>
  <si>
    <t>금속표시판 제조업</t>
  </si>
  <si>
    <t>Manufacture of Metal Sign Boards</t>
  </si>
  <si>
    <t>25999</t>
  </si>
  <si>
    <t>그외 기타 분류안된 금속가공제품 제조업</t>
  </si>
  <si>
    <t>Manufacture of Other Febricated and Processed Metal Products n.e.c</t>
  </si>
  <si>
    <t>26</t>
  </si>
  <si>
    <t>전자부품, 컴퓨터, 영상, 음향 및 통신장비 제조업</t>
  </si>
  <si>
    <t>Manufacture of Electronic Components, Computer, Radio, Television and Communication Equipment and Apparatuses</t>
  </si>
  <si>
    <t>261</t>
  </si>
  <si>
    <t>반도체 제조업</t>
  </si>
  <si>
    <t>Manufacture of Semiconductor</t>
  </si>
  <si>
    <t>2611</t>
  </si>
  <si>
    <t>전자집적회로 제조업</t>
  </si>
  <si>
    <t>Manufacture of Electronic Integrated Circuits</t>
  </si>
  <si>
    <t>26110</t>
  </si>
  <si>
    <t>2612</t>
  </si>
  <si>
    <t>다이오드, 트랜지스터 및 유사 반도체소자 제조업</t>
  </si>
  <si>
    <t>Manufacture of Diodes, Transistors and Similar Semi-conductor Devices</t>
  </si>
  <si>
    <t>26120</t>
  </si>
  <si>
    <t>262</t>
  </si>
  <si>
    <t>전자부품 제조업</t>
  </si>
  <si>
    <t>Manufacture of Electronic Components</t>
  </si>
  <si>
    <t>2621</t>
  </si>
  <si>
    <t>평판 디스플레이 제조업</t>
  </si>
  <si>
    <t>Manufacture of Flat Display Boards</t>
  </si>
  <si>
    <t>26211</t>
  </si>
  <si>
    <t>액정 평판 디스플레이 제조업</t>
  </si>
  <si>
    <t>Manufacture of liquid crystal Flat Display Boards</t>
  </si>
  <si>
    <t>26219</t>
  </si>
  <si>
    <t>플라즈마 및 기타 평판 디스플레이 제조업</t>
  </si>
  <si>
    <t>Manufacture of Plasma and Other Flat Display Boards</t>
  </si>
  <si>
    <t>2622</t>
  </si>
  <si>
    <t>인쇄회로기판 및 전자부품 실장기판 제조업</t>
  </si>
  <si>
    <t>Manufacture of Printed Circuit Boards and Loaded Electronic Components onto PCB</t>
  </si>
  <si>
    <t>26221</t>
  </si>
  <si>
    <t>인쇄회로기판 제조업</t>
  </si>
  <si>
    <t>Manufacture of Printed Circuit Boards</t>
  </si>
  <si>
    <t>26222</t>
  </si>
  <si>
    <t>전자부품 실장기판 제조업</t>
  </si>
  <si>
    <t>Manufacture of Loaded Electronic Components onto PCB</t>
  </si>
  <si>
    <t>2629</t>
  </si>
  <si>
    <t>기타 전자부품 제조업</t>
  </si>
  <si>
    <t>Manufacture of Other Electronic Components, Except Semiconductor and Electronic Integrated Circuits</t>
  </si>
  <si>
    <t>26291</t>
  </si>
  <si>
    <t>전자관 제조업</t>
  </si>
  <si>
    <t>Manufacture of Electronic Valves and Tubes</t>
  </si>
  <si>
    <t>26292</t>
  </si>
  <si>
    <t>전자축전기 제조업</t>
  </si>
  <si>
    <t>Manufacture of Electronic Capacitors</t>
  </si>
  <si>
    <t>26293</t>
  </si>
  <si>
    <t>전자저항기 제조업</t>
  </si>
  <si>
    <t>Manufacture of Electronic Resistors</t>
  </si>
  <si>
    <t>26294</t>
  </si>
  <si>
    <t>전자카드 제조업</t>
  </si>
  <si>
    <t>Manufacture of Smart Cards With Magnetic Stripe or chip</t>
  </si>
  <si>
    <t>26295</t>
  </si>
  <si>
    <t>전자코일, 변성기 및 기타 전자유도자 제조업</t>
  </si>
  <si>
    <t>Manufacture of Electronic Coils, Transformers and Other Inductors</t>
  </si>
  <si>
    <t>26296</t>
  </si>
  <si>
    <t>전자접속카드 제조업</t>
  </si>
  <si>
    <t>Manufacture of Electronic Interface Cards</t>
  </si>
  <si>
    <t>26299</t>
  </si>
  <si>
    <t>그외 기타 전자부품 제조업</t>
  </si>
  <si>
    <t>Manufacture of Other Electronic Valves, Tubes and Electronic Components n.e.c.</t>
  </si>
  <si>
    <t>263</t>
  </si>
  <si>
    <t>컴퓨터 및 주변장치 제조업</t>
  </si>
  <si>
    <t>Manufacture of Computers and Peripheral Equipment</t>
  </si>
  <si>
    <t>2631</t>
  </si>
  <si>
    <t>컴퓨터 제조업</t>
  </si>
  <si>
    <t>Manufacture of Computer</t>
  </si>
  <si>
    <t>26310</t>
  </si>
  <si>
    <t>2632</t>
  </si>
  <si>
    <t>기억장치 및 주변기기 제조업</t>
  </si>
  <si>
    <t>Manufacture of Storage Units and Peripheral Equipment</t>
  </si>
  <si>
    <t>26321</t>
  </si>
  <si>
    <t>기억장치 제조업</t>
  </si>
  <si>
    <t>Manufacture of Storage Units</t>
  </si>
  <si>
    <t>26322</t>
  </si>
  <si>
    <t>컴퓨터 모니터 제조업</t>
  </si>
  <si>
    <t>Manufacture of Computer Monitor</t>
  </si>
  <si>
    <t>26323</t>
  </si>
  <si>
    <t>컴퓨터 프린터 제조업</t>
  </si>
  <si>
    <t>Manufacture of Computer Printer</t>
  </si>
  <si>
    <t>26329</t>
  </si>
  <si>
    <t>기타 주변기기 제조업</t>
  </si>
  <si>
    <t>Manufacture of Other Peripheral Apparatuses</t>
  </si>
  <si>
    <t>264</t>
  </si>
  <si>
    <t>통신 및 방송 장비 제조업</t>
  </si>
  <si>
    <t>Manufacture of Telecommunication and Broadcasting Apparatuses</t>
  </si>
  <si>
    <t>2641</t>
  </si>
  <si>
    <t>유선 통신장비 제조업</t>
  </si>
  <si>
    <t>Manufacture of Line Telecommunication Apparatuses</t>
  </si>
  <si>
    <t>26410</t>
  </si>
  <si>
    <t>2642</t>
  </si>
  <si>
    <t>방송 및 무선 통신장비 제조업</t>
  </si>
  <si>
    <t>Manufacture of Broadcasting and Wireless Telecommunication Apparatuses</t>
  </si>
  <si>
    <t>26421</t>
  </si>
  <si>
    <t>방송장비 제조업</t>
  </si>
  <si>
    <t>Manufacture of Broadcasting Apparatuses</t>
  </si>
  <si>
    <t>26422</t>
  </si>
  <si>
    <t>이동전화기 제조업</t>
  </si>
  <si>
    <t>Manufacture of Mobile Phone</t>
  </si>
  <si>
    <t>26429</t>
  </si>
  <si>
    <t>기타 무선 통신장비 제조업</t>
  </si>
  <si>
    <t>Manufacture of Other Wireless Telecommunication Apparatuses</t>
  </si>
  <si>
    <t>265</t>
  </si>
  <si>
    <t>영상 및 음향기기 제조업</t>
  </si>
  <si>
    <t>Manufacture of Electronic Vidio and Audio Equipment</t>
  </si>
  <si>
    <t>2651</t>
  </si>
  <si>
    <t>텔레비전, 비디오 및 기타 영상기기 제조업</t>
  </si>
  <si>
    <t>Manufacture of Television, Video and Other Audio Equipment</t>
  </si>
  <si>
    <t>26511</t>
  </si>
  <si>
    <t>텔레비전 제조업</t>
  </si>
  <si>
    <t>Manufacture of Television</t>
  </si>
  <si>
    <t>26519</t>
  </si>
  <si>
    <t>비디오 및 기타 영상기기 제조업</t>
  </si>
  <si>
    <t>Manufacture of Video and Other Audio Equipment</t>
  </si>
  <si>
    <t>2652</t>
  </si>
  <si>
    <t>오디오, 스피커 및 기타 음향기기 제조업</t>
  </si>
  <si>
    <t>Manufacture of Audio, Speaker and Other Sound Equipment</t>
  </si>
  <si>
    <t>26521</t>
  </si>
  <si>
    <t>라디오, 녹음 및 재생 기기 제조업</t>
  </si>
  <si>
    <t>Manufacture of Radio, Sound or Video Recording and Reproducing Apparatuses</t>
  </si>
  <si>
    <t>26529</t>
  </si>
  <si>
    <t>기타 음향기기 제조업</t>
  </si>
  <si>
    <t>Manufacture of Other Sound Equipment</t>
  </si>
  <si>
    <t>266</t>
  </si>
  <si>
    <t>마그네틱 및 광학 매체 제조업</t>
  </si>
  <si>
    <t>Manufacture of Magnetic and optical Medium</t>
  </si>
  <si>
    <t>2660</t>
  </si>
  <si>
    <t>26600</t>
  </si>
  <si>
    <t>27</t>
  </si>
  <si>
    <t>의료, 정밀, 광학기기 및 시계 제조업</t>
  </si>
  <si>
    <t>Manufacture of Medical, Precision and Optical Instruments, Watches and Clocks</t>
  </si>
  <si>
    <t>271</t>
  </si>
  <si>
    <t>의료용 기기 제조업</t>
  </si>
  <si>
    <t>Manufacture of Medical Appliances and Instruments</t>
  </si>
  <si>
    <t>2711</t>
  </si>
  <si>
    <t>방사선장치 및 전기식 진단기기 제조업</t>
  </si>
  <si>
    <t>Manufacture of Radiation Apparatuses and Electro-Diagnostic Apparatuses</t>
  </si>
  <si>
    <t>27111</t>
  </si>
  <si>
    <t>방사선 장치 제조업</t>
  </si>
  <si>
    <t>Manufacture of Radiation Apparatuses</t>
  </si>
  <si>
    <t>27112</t>
  </si>
  <si>
    <t>전기식 진단 및 요법 기기 제조업</t>
  </si>
  <si>
    <t>Manufacture of Electro-Diagnostic and Therapy Apparatuses</t>
  </si>
  <si>
    <t>2719</t>
  </si>
  <si>
    <t>기타 의료용 기기 제조업</t>
  </si>
  <si>
    <t>Manufacture of Other Medical and Surgical Equipment and Orthopedic Appliances</t>
  </si>
  <si>
    <t>27191</t>
  </si>
  <si>
    <t>치과용 기기 제조업</t>
  </si>
  <si>
    <t>Manufacture of Dental Instruments and Appliances</t>
  </si>
  <si>
    <t>27192</t>
  </si>
  <si>
    <t>정형외과용 및 신체보정용 기기 제조업</t>
  </si>
  <si>
    <t>Manufacture of Orthopedic Appliances; and Appliances and Supplies to Compensate for Disability</t>
  </si>
  <si>
    <t>27193</t>
  </si>
  <si>
    <t>의료용 가구 제조업</t>
  </si>
  <si>
    <t>Manufacture of Medical Furniture</t>
  </si>
  <si>
    <t>27199</t>
  </si>
  <si>
    <t>그외 기타 의료용 기기 제조업</t>
  </si>
  <si>
    <t>Manufacture of Other Medical and Surgical Equipment and Orthopedic Appliances n.e.c.</t>
  </si>
  <si>
    <t>272</t>
  </si>
  <si>
    <t>측정, 시험, 항해, 제어 및 기타 정밀기기 제조업; 광학기기 제외</t>
  </si>
  <si>
    <t>Manufacture of Instruments and Appliances for Measuring, Checking, Testing, Navigating, controlling and Other Purposes, Except Optical Instruments</t>
  </si>
  <si>
    <t>2721</t>
  </si>
  <si>
    <t>측정, 시험, 항해, 제어 및 기타 정밀기기 제조업</t>
  </si>
  <si>
    <t>Manufacture of Measuring, Testing, Navigation, Control and Other Precision Instrumensts</t>
  </si>
  <si>
    <t>27211</t>
  </si>
  <si>
    <t>항행용 무선기기 및 측량기구 제조업</t>
  </si>
  <si>
    <t>Manufacture of Instruments and Appliances for Radio Navigating and Measuring</t>
  </si>
  <si>
    <t>27212</t>
  </si>
  <si>
    <t>전자기 측정, 시험 및 분석기구 제조업</t>
  </si>
  <si>
    <t>Manufacture of Electrical Measuring, Testing and Analysis Instruments</t>
  </si>
  <si>
    <t>27213</t>
  </si>
  <si>
    <t>물질 검사, 측정 및 분석기구 제조업</t>
  </si>
  <si>
    <t>Manufacture of Material Testing, Measuring and Checking Instruments</t>
  </si>
  <si>
    <t>27214</t>
  </si>
  <si>
    <t>속도계 및 적산계기 제조업</t>
  </si>
  <si>
    <t>Manufacture of Revolution Counters and Supply or Production Meters</t>
  </si>
  <si>
    <t>27215</t>
  </si>
  <si>
    <t>기기용 자동측정 및 제어장치 제조업</t>
  </si>
  <si>
    <t>Manufacture of Instruments for Automatic Measurement or Control</t>
  </si>
  <si>
    <t>27216</t>
  </si>
  <si>
    <t>산업처리공정 제어장비 제조업</t>
  </si>
  <si>
    <t>Manufacture of Industrial Process Control Equipment</t>
  </si>
  <si>
    <t>27219</t>
  </si>
  <si>
    <t>기타 측정, 시험, 항해, 제어 및 정밀기기 제조업</t>
  </si>
  <si>
    <t>273</t>
  </si>
  <si>
    <t>안경, 사진장비 및 기타 광학기기 제조업</t>
  </si>
  <si>
    <t>Manufacture of Spectacle, Photographic Equipment and Other Optical Instruments</t>
  </si>
  <si>
    <t>2731</t>
  </si>
  <si>
    <t>안경 제조업</t>
  </si>
  <si>
    <t>Manufacture of Spectacles</t>
  </si>
  <si>
    <t>27310</t>
  </si>
  <si>
    <t>2732</t>
  </si>
  <si>
    <t>광학기기 및 사진장비 제조업</t>
  </si>
  <si>
    <t>Manufacture of Optical Instruments  and Photographic Equipment</t>
  </si>
  <si>
    <t>27321</t>
  </si>
  <si>
    <t>광학렌즈 및 광학요소 제조업</t>
  </si>
  <si>
    <t>Manufacture of Optical Lens and Elements</t>
  </si>
  <si>
    <t>27322</t>
  </si>
  <si>
    <t>사진기, 영사기 및 관련장비 제조업</t>
  </si>
  <si>
    <t>Manufacture of Cinematograph Cameras and Projectors and Photographic or Cinematographic Laboratory Equipment</t>
  </si>
  <si>
    <t>27329</t>
  </si>
  <si>
    <t>기타 광학기기 제조업</t>
  </si>
  <si>
    <t>Manufacture of Other Optical Instruments and Photographic Equipment</t>
  </si>
  <si>
    <t>274</t>
  </si>
  <si>
    <t>시계 및 시계부품 제조업</t>
  </si>
  <si>
    <t>Manufacture of Watches, Clocks and its Parts</t>
  </si>
  <si>
    <t>2740</t>
  </si>
  <si>
    <t>27401</t>
  </si>
  <si>
    <t>시계제조업</t>
  </si>
  <si>
    <t>Manufacture of Watches and Clocks</t>
  </si>
  <si>
    <t>27402</t>
  </si>
  <si>
    <t>시계부품 제조업</t>
  </si>
  <si>
    <t>Manufacture of parts of Watches and Clocks</t>
  </si>
  <si>
    <t>28</t>
  </si>
  <si>
    <t>전기장비 제조업</t>
  </si>
  <si>
    <t>Manufacture of electrical equipment</t>
  </si>
  <si>
    <t>281</t>
  </si>
  <si>
    <t>전동기, 발전기 및 전기 변환 · 공급 · 제어 장치 제조업</t>
  </si>
  <si>
    <t>Manufacture of Electric Motors, Generators and Transforming, Distributing and Controling Apparatus of Eletricity</t>
  </si>
  <si>
    <t>2811</t>
  </si>
  <si>
    <t>전동기, 발전기 및 전기변환장치 제조업</t>
  </si>
  <si>
    <t>Manufacture of Electric Motors, Generators and Transformers</t>
  </si>
  <si>
    <t>28111</t>
  </si>
  <si>
    <t>전동기 및 발전기 제조업</t>
  </si>
  <si>
    <t>Manufacture of Electric Motors and Generators</t>
  </si>
  <si>
    <t>28112</t>
  </si>
  <si>
    <t>변압기 제조업</t>
  </si>
  <si>
    <t>Manufacture of Transformers</t>
  </si>
  <si>
    <t>28113</t>
  </si>
  <si>
    <t>방전램프용 안정기 제조업</t>
  </si>
  <si>
    <t>Manufacture of Ballasts for Lamps</t>
  </si>
  <si>
    <t>28119</t>
  </si>
  <si>
    <t>기타 발전기 및 전기변환장치 제조업</t>
  </si>
  <si>
    <t>Manufacture of Other Electric Motors, Generators and Transformers</t>
  </si>
  <si>
    <t>2812</t>
  </si>
  <si>
    <t>전기공급 및 전기제어 장치 제조업</t>
  </si>
  <si>
    <t>Manufacture of Distribution and Control Apparatuses of Electricity</t>
  </si>
  <si>
    <t>28121</t>
  </si>
  <si>
    <t>전기회로 개폐, 보호 및 접속 장치 제조업</t>
  </si>
  <si>
    <t>Manufacture of Electrical Apparatuseses for Switching, Protecting and Connecting Electrical Circuits Used in Power Distribution Systems</t>
  </si>
  <si>
    <t>28122</t>
  </si>
  <si>
    <t>배전반 및 전기자동제어반 제조업</t>
  </si>
  <si>
    <t>Manufacture of Boards for Electric Control or Distribution</t>
  </si>
  <si>
    <t>282</t>
  </si>
  <si>
    <t>일차전지 및 축전지 제조업</t>
  </si>
  <si>
    <t>Manufacture of Primary Cells and Batteries and Accumulators</t>
  </si>
  <si>
    <t>2820</t>
  </si>
  <si>
    <t>28201</t>
  </si>
  <si>
    <t>일차전지 제조업</t>
  </si>
  <si>
    <t>Manufacture of Primary Cells and Batteries</t>
  </si>
  <si>
    <t>28202</t>
  </si>
  <si>
    <t>축전지 제조업</t>
  </si>
  <si>
    <t>Manufacture of Accumulators</t>
  </si>
  <si>
    <t>283</t>
  </si>
  <si>
    <t>절연선 및 케이블 제조업</t>
  </si>
  <si>
    <t>Manufacture of Insulated Wires and Cables, Including Insulated Code Sets</t>
  </si>
  <si>
    <t>2830</t>
  </si>
  <si>
    <t>28301</t>
  </si>
  <si>
    <t>광섬유 케이블 제조업</t>
  </si>
  <si>
    <t>Manufacture of Optical Fiber Cables</t>
  </si>
  <si>
    <t>28302</t>
  </si>
  <si>
    <t>기타 절연선 및 케이블 제조업</t>
  </si>
  <si>
    <t>Manufacture of Other Insulated Wire and Cable</t>
  </si>
  <si>
    <t>28303</t>
  </si>
  <si>
    <t>절연 코드세트 및 기타 도체 제조업</t>
  </si>
  <si>
    <t>Manufacture of Insulated Codes Sets and Other Conductors for Electric</t>
  </si>
  <si>
    <t>284</t>
  </si>
  <si>
    <t>전구 및 조명장치 제조업</t>
  </si>
  <si>
    <t>Manufacture of Electric Lamps and Bulbs</t>
  </si>
  <si>
    <t>2841</t>
  </si>
  <si>
    <t>전구 및 램프 제조업</t>
  </si>
  <si>
    <t>Electric Power Generation</t>
  </si>
  <si>
    <t>28410</t>
  </si>
  <si>
    <t>Manufacture of Electric Lamps and Electric Bulbs</t>
  </si>
  <si>
    <t>2842</t>
  </si>
  <si>
    <t>조명장치 제조업</t>
  </si>
  <si>
    <t>Manufacture of Lighting Fixture</t>
  </si>
  <si>
    <t>28421</t>
  </si>
  <si>
    <t>운송장비용 조명장치 제조업</t>
  </si>
  <si>
    <t>Manufacture of Lighting Equipment for Transportation Fixture</t>
  </si>
  <si>
    <t>28422</t>
  </si>
  <si>
    <t>일반용 전기 조명장치 제조업</t>
  </si>
  <si>
    <t>Manufacture of General Electric Lighting Fixture</t>
  </si>
  <si>
    <t>28423</t>
  </si>
  <si>
    <t>전시 및 광고용 조명장치 제조업</t>
  </si>
  <si>
    <t>Manufacture of Lighting Fixture for Exhibition and Advertisement</t>
  </si>
  <si>
    <t>28429</t>
  </si>
  <si>
    <t>기타 조명장치 제조업</t>
  </si>
  <si>
    <t>Manufacture of Other Lighting Fixture</t>
  </si>
  <si>
    <t>285</t>
  </si>
  <si>
    <t>가정용 기기 제조업</t>
  </si>
  <si>
    <t>Manufacture of Domestic Appliances</t>
  </si>
  <si>
    <t>2851</t>
  </si>
  <si>
    <t>가정용 전기기기 제조업</t>
  </si>
  <si>
    <t>Manufacture of Domestic Electric Appliances</t>
  </si>
  <si>
    <t>28511</t>
  </si>
  <si>
    <t>주방용 전기기기 제조업</t>
  </si>
  <si>
    <t>Manufacture of Electric Appliances for Kitchen</t>
  </si>
  <si>
    <t>28512</t>
  </si>
  <si>
    <t>가정용 전기 난방기기 제조업</t>
  </si>
  <si>
    <t>Manufacture of Domestic Electric Heating Equipment</t>
  </si>
  <si>
    <t>28519</t>
  </si>
  <si>
    <t>기타 가정용 전기기기 제조업</t>
  </si>
  <si>
    <t>Manufacture of Other Domestic Electric Appliances</t>
  </si>
  <si>
    <t>2852</t>
  </si>
  <si>
    <t>가정용 비전기식 조리 및 난방 기구 제조업</t>
  </si>
  <si>
    <t>Manufacture of Domestic Non-electric Cooking and Heating Apparatuses</t>
  </si>
  <si>
    <t>28520</t>
  </si>
  <si>
    <t>Manufacture of Domestic Non-electric Cooking Appliances and Heating Apparatuses</t>
  </si>
  <si>
    <t>289</t>
  </si>
  <si>
    <t>기타 전기장비 제조업</t>
  </si>
  <si>
    <t>Manufacture of Other Electrical Equipment</t>
  </si>
  <si>
    <t>2890</t>
  </si>
  <si>
    <t>28901</t>
  </si>
  <si>
    <t>전기경보 및 신호장치 제조업</t>
  </si>
  <si>
    <t>Manufacture of Electric Alarm and Signal Systems</t>
  </si>
  <si>
    <t>28902</t>
  </si>
  <si>
    <t>전기용 탄소제품 및 절연제품 제조업</t>
  </si>
  <si>
    <t>Manufacture of Electrical Carbon Products and Insulators</t>
  </si>
  <si>
    <t>28903</t>
  </si>
  <si>
    <t>교통 신호장치 제조업</t>
  </si>
  <si>
    <t>Manufacture of Traffic Signal Systems</t>
  </si>
  <si>
    <t>28909</t>
  </si>
  <si>
    <t>그외 기타 전기장비 제조업</t>
  </si>
  <si>
    <t>Manufacture of Other Electrical Equipment n.e.c.</t>
  </si>
  <si>
    <t>29</t>
  </si>
  <si>
    <t>기타 기계 및 장비 제조업</t>
  </si>
  <si>
    <t>Manufacture of Other Machinery and Equipment</t>
  </si>
  <si>
    <t>291</t>
  </si>
  <si>
    <t>일반 목적용 기계 제조업</t>
  </si>
  <si>
    <t>Manufacture of General Purpose Machinery</t>
  </si>
  <si>
    <t>2911</t>
  </si>
  <si>
    <t>내연기관 및 터빈 제조업; 항공기용 및 차량용 제외</t>
  </si>
  <si>
    <t>Manufacture of Internal Combustion Piston Engines and Turbines, Except Aircraft, Vehicle and Cycle Propulsion Engines</t>
  </si>
  <si>
    <t>29111</t>
  </si>
  <si>
    <t>내연기관 제조업</t>
  </si>
  <si>
    <t>Manufacture of Internal Combustion Piston Engines</t>
  </si>
  <si>
    <t>29119</t>
  </si>
  <si>
    <t>기타 기관 및 터빈 제조업</t>
  </si>
  <si>
    <t>Manufacture of Other Engines and Steam and Gas Turbines</t>
  </si>
  <si>
    <t>2912</t>
  </si>
  <si>
    <t>유압기기 제조업</t>
  </si>
  <si>
    <t>Manufacture of Fluid Power Equipment</t>
  </si>
  <si>
    <t>29120</t>
  </si>
  <si>
    <t>2913</t>
  </si>
  <si>
    <t>펌프 및 압축기 제조업; 탭, 밸브 및 유사장치 제조 포함</t>
  </si>
  <si>
    <t>Manufacture of Pumps and Compressors Including Taps, Valves and Similar Products</t>
  </si>
  <si>
    <t>29131</t>
  </si>
  <si>
    <t>액체 펌프 제조업</t>
  </si>
  <si>
    <t>Manufacture of Pumps for Liquids</t>
  </si>
  <si>
    <t>29132</t>
  </si>
  <si>
    <t>기체 펌프 및 압축기 제조업</t>
  </si>
  <si>
    <t>Manufacture of Pumps and Compressors</t>
  </si>
  <si>
    <t>29133</t>
  </si>
  <si>
    <t>탭, 밸브 및 유사장치 제조업</t>
  </si>
  <si>
    <t>Manufacture of Taps, Valves and Similar Products</t>
  </si>
  <si>
    <t>2914</t>
  </si>
  <si>
    <t>베어링, 기어 및 동력전달장치 제조업</t>
  </si>
  <si>
    <t>Manufacture of Bearings, Gears and Driving Related Components</t>
  </si>
  <si>
    <t>29141</t>
  </si>
  <si>
    <t>볼베어링 및 롤러베어링 제조업</t>
  </si>
  <si>
    <t>Manufacture of Ball and Roller Bearings</t>
  </si>
  <si>
    <t>29142</t>
  </si>
  <si>
    <t>기어 및 동력전달장치 제조업</t>
  </si>
  <si>
    <t>Manufacture of Gears and Driving Related Components</t>
  </si>
  <si>
    <t>2915</t>
  </si>
  <si>
    <t>산업용 오븐, 노 및 노용 버너 제조업</t>
  </si>
  <si>
    <t>Manufacture of Industrial Ovens, Furnaces and Furnace Burners</t>
  </si>
  <si>
    <t>29150</t>
  </si>
  <si>
    <t>2916</t>
  </si>
  <si>
    <t>산업용 트럭, 승강기 및 물품취급장비 제조업</t>
  </si>
  <si>
    <t>Manufacture of Work trucks, Lifting and Handling Equipment</t>
  </si>
  <si>
    <t>29161</t>
  </si>
  <si>
    <t>산업용 트럭 및 적재기 제조업</t>
  </si>
  <si>
    <t>Manufacture of Work trucks and Stackers</t>
  </si>
  <si>
    <t>29162</t>
  </si>
  <si>
    <t>승강기 제조업</t>
  </si>
  <si>
    <t>Manufacture of Elevators</t>
  </si>
  <si>
    <t>29163</t>
  </si>
  <si>
    <t>컨베이어장치 제조업</t>
  </si>
  <si>
    <t>Manufacture of Conveyor systems</t>
  </si>
  <si>
    <t>29169</t>
  </si>
  <si>
    <t>기타 물품취급장비 제조업</t>
  </si>
  <si>
    <t>Manufacture of Other Work trucks, Lifting and Handling Equipment</t>
  </si>
  <si>
    <t>2917</t>
  </si>
  <si>
    <t>냉각, 공기조화, 여과, 증류 및 가스발생기 제조업</t>
  </si>
  <si>
    <t>Manufacture of Industrial Refrigerators, Air Conditioning , Filtering Machinery, Distilling Plant and Gas Generators</t>
  </si>
  <si>
    <t>29171</t>
  </si>
  <si>
    <t>산업용 냉장 및 냉동 장비 제조업</t>
  </si>
  <si>
    <t>Manufacture of Industrial Refrigerators and Refrigerating Equipment</t>
  </si>
  <si>
    <t>29172</t>
  </si>
  <si>
    <t>공기조화장치 제조업</t>
  </si>
  <si>
    <t>Manufacture of Air Conditioning and Control Machines</t>
  </si>
  <si>
    <t>29173</t>
  </si>
  <si>
    <t>산업용 송풍기 및 배기장치 제조업</t>
  </si>
  <si>
    <t>Manufacture of Ventilating Machines</t>
  </si>
  <si>
    <t>29174</t>
  </si>
  <si>
    <t>기체 여과기 제조업</t>
  </si>
  <si>
    <t>Manufacture of Filtering or Purifying Machinery for Air or Gases</t>
  </si>
  <si>
    <t>29175</t>
  </si>
  <si>
    <t>액체 여과기 제조업</t>
  </si>
  <si>
    <t>Manufacture of Filtering or Purifying Machinery for Liquids or Oils</t>
  </si>
  <si>
    <t>29176</t>
  </si>
  <si>
    <t>증류기,열교환기 및 가스발생기 제조업</t>
  </si>
  <si>
    <t>Manufacture of Distilling Machinery, Heat exchange unit and Gas Generators</t>
  </si>
  <si>
    <t>2918</t>
  </si>
  <si>
    <t>사무용 기계 및 장비 제조업</t>
  </si>
  <si>
    <t>Manufacture of Office Machinery and Equipment</t>
  </si>
  <si>
    <t>29180</t>
  </si>
  <si>
    <t>2919</t>
  </si>
  <si>
    <t>기타 일반 목적용 기계 제조업</t>
  </si>
  <si>
    <t>Manufacture of Other General-Purpose Machinery</t>
  </si>
  <si>
    <t>29191</t>
  </si>
  <si>
    <t>일반저울 제조업</t>
  </si>
  <si>
    <t>Manufacture of General Weighing Machinery</t>
  </si>
  <si>
    <t>29192</t>
  </si>
  <si>
    <t>용기세척, 포장 및 충전기 제조업</t>
  </si>
  <si>
    <t>Manufacture of Containers Cleaning, Packing and Wraping Machinery and  Charger</t>
  </si>
  <si>
    <t>29193</t>
  </si>
  <si>
    <t>자동판매기 및 화폐교환기 제조업</t>
  </si>
  <si>
    <t>Manufacture of Automatic Vending Machines and Money-changing Machines</t>
  </si>
  <si>
    <t>29194</t>
  </si>
  <si>
    <t>분사기 및 소화기  제조업</t>
  </si>
  <si>
    <t>Manufacture of Spraying, Projecting and Dispersing Machines</t>
  </si>
  <si>
    <t>29195</t>
  </si>
  <si>
    <t>동력식 수지공구 제조업</t>
  </si>
  <si>
    <t>Manufacture of Tools for Working in the Hand, Powered</t>
  </si>
  <si>
    <t>29199</t>
  </si>
  <si>
    <t>그외 기타 일반목적용 기계 제조업</t>
  </si>
  <si>
    <t>Manufacture of Other General- Purpose Machinery n.e.c.</t>
  </si>
  <si>
    <t>292</t>
  </si>
  <si>
    <t>특수 목적용 기계 제조업</t>
  </si>
  <si>
    <t>Manufacture of Special-Purpose Machinery</t>
  </si>
  <si>
    <t>2921</t>
  </si>
  <si>
    <t>농업 및 임업용 기계 제조업</t>
  </si>
  <si>
    <t>Manufacture of Agricultural and Forestry Machinery</t>
  </si>
  <si>
    <t>29210</t>
  </si>
  <si>
    <t>2922</t>
  </si>
  <si>
    <t>가공공작기계 제조업</t>
  </si>
  <si>
    <t>Manufacture of Machine-tools for working</t>
  </si>
  <si>
    <t>29221</t>
  </si>
  <si>
    <t>전자응용 공작기계 제조업</t>
  </si>
  <si>
    <t>Manufacture of Machine-tools By Electron</t>
  </si>
  <si>
    <t>29222</t>
  </si>
  <si>
    <t>금속 절삭기계 제조업</t>
  </si>
  <si>
    <t>Manufacture of Metal Cutting Machines</t>
  </si>
  <si>
    <t>29223</t>
  </si>
  <si>
    <t>금속 성형기계 제조업</t>
  </si>
  <si>
    <t>Manufacture of Metal Cutting and Compressing Machines</t>
  </si>
  <si>
    <t>29229</t>
  </si>
  <si>
    <t>기타 가공공작기계 제조업</t>
  </si>
  <si>
    <t>Manufacture of Other Machine-Tools for Working</t>
  </si>
  <si>
    <t>2923</t>
  </si>
  <si>
    <t>금속주조 및 기타 야금용 기계 제조업</t>
  </si>
  <si>
    <t>Manufacture of Machinery for Metal Casting and Other Metallurgy</t>
  </si>
  <si>
    <t>29230</t>
  </si>
  <si>
    <t>금속 주조 및 기타 야금용 기계 제조업</t>
  </si>
  <si>
    <t>2924</t>
  </si>
  <si>
    <t>건설 및 광산용 기계장비 제조업</t>
  </si>
  <si>
    <t>Manufacture of Machinery for Mining, Quarrying and Construction</t>
  </si>
  <si>
    <t>29241</t>
  </si>
  <si>
    <t>토목공사 및 유사용 기계장비 제조업</t>
  </si>
  <si>
    <t>Manufacture of Civil Engineering and Similar Machine Equipment</t>
  </si>
  <si>
    <t>29242</t>
  </si>
  <si>
    <t>광물처리 및 취급장비 제조업</t>
  </si>
  <si>
    <t>Manufacture of Mining Treatment and Handling Equipment</t>
  </si>
  <si>
    <t>2925</t>
  </si>
  <si>
    <t>음·식료품 및 담배 가공기계 제조업</t>
  </si>
  <si>
    <t>Manufacture of Machinery for Food, Beverage and Tobacco Processing</t>
  </si>
  <si>
    <t>29250</t>
  </si>
  <si>
    <t>2926</t>
  </si>
  <si>
    <t>섬유, 의복 및 가죽 가공기계 제조업</t>
  </si>
  <si>
    <t>Manufacture of Machinery for Textiles, Apparel and Leather Processing</t>
  </si>
  <si>
    <t>29261</t>
  </si>
  <si>
    <t>산업용 섬유세척, 염색, 정리 및 가공 기계 제조업</t>
  </si>
  <si>
    <t>Manufacture of Industrial Machinery for Washing, Dyeing , Finishing and Processing Industrial Machinery of Fibres</t>
  </si>
  <si>
    <t>29269</t>
  </si>
  <si>
    <t>기타 섬유, 의복 및 가죽 가공 기계 제조업</t>
  </si>
  <si>
    <t>Manufacture of Machinery for Other Textiles, Apparel and Leather Processing</t>
  </si>
  <si>
    <t>2927</t>
  </si>
  <si>
    <t>반도체 및 평판디스플레이 제조용 기계 제조업</t>
  </si>
  <si>
    <t>Manufacture of Semiconductor and Flat Display Board Manufacturing Machinery</t>
  </si>
  <si>
    <t>29271</t>
  </si>
  <si>
    <t>반도체 제조용 기계 제조업</t>
  </si>
  <si>
    <t>Manufacture of Semiconductor- Manufacturing Machinery</t>
  </si>
  <si>
    <t>29272</t>
  </si>
  <si>
    <t>평판디스플레이 제조용 기계 제조업</t>
  </si>
  <si>
    <t>Manufacture of Flat Display Board- Manufacturing Machinery</t>
  </si>
  <si>
    <t>2928</t>
  </si>
  <si>
    <t>산업용 로봇 제조업</t>
  </si>
  <si>
    <t>Manufacture of Industrial Robots</t>
  </si>
  <si>
    <t>29280</t>
  </si>
  <si>
    <t>2929</t>
  </si>
  <si>
    <t>기타 특수목적용 기계 제조업</t>
  </si>
  <si>
    <t>Manufacture of Other Special Purpose Machinery</t>
  </si>
  <si>
    <t>29291</t>
  </si>
  <si>
    <t>펄프 및 종이 가공용 기계 제조업</t>
  </si>
  <si>
    <t>Manufacture of Machinery for Pulb and Paper Processing</t>
  </si>
  <si>
    <t>29292</t>
  </si>
  <si>
    <t>고무, 화학섬유 및 플라스틱 성형기 제조업</t>
  </si>
  <si>
    <t>Manufacture of Rubber, Man-made fiber and Plastic Machinery</t>
  </si>
  <si>
    <t>29293</t>
  </si>
  <si>
    <t>인쇄 및 제책용 기계 제조업</t>
  </si>
  <si>
    <t>Manufacture of Machinery and Accessaries Specialized for Printing and Bookbinding</t>
  </si>
  <si>
    <t>29294</t>
  </si>
  <si>
    <t>주형 및 금형 제조업</t>
  </si>
  <si>
    <t>Manufacture of Moulding Patterns, Moulds and Industrial Patterns</t>
  </si>
  <si>
    <t>29299</t>
  </si>
  <si>
    <t>그외 기타 특수목적용 기계 제조업</t>
  </si>
  <si>
    <t>Manufacture of Other Special Purpose Machinery, n.e.c.</t>
  </si>
  <si>
    <t>30</t>
  </si>
  <si>
    <t>자동차 및 트레일러 제조업</t>
  </si>
  <si>
    <t>Manufacture of Motor Vehicles, Trailers and Semitrailers</t>
  </si>
  <si>
    <t>301</t>
  </si>
  <si>
    <t>자동차용 엔진 및 자동차 제조업</t>
  </si>
  <si>
    <t>Manufacture of Motor Vehicles and Engines for Motor Vehicles</t>
  </si>
  <si>
    <t>3011</t>
  </si>
  <si>
    <t>자동차용 엔진 제조업</t>
  </si>
  <si>
    <t>Manufacture of Engines for Motor Vehicles</t>
  </si>
  <si>
    <t>30110</t>
  </si>
  <si>
    <t>3012</t>
  </si>
  <si>
    <t>자동차 제조업</t>
  </si>
  <si>
    <t>Manufacture of Motor Vehicles</t>
  </si>
  <si>
    <t>30121</t>
  </si>
  <si>
    <t>승용차 및 기타 여객용 자동차 제조업</t>
  </si>
  <si>
    <t>Manufacture of Passenger Motor Vehicles</t>
  </si>
  <si>
    <t>30122</t>
  </si>
  <si>
    <t>화물자동차 및 특수목적용 자동차 제조업</t>
  </si>
  <si>
    <t>Manufacture of Motor Vehicles for the Transport of Goods and Special Purpose</t>
  </si>
  <si>
    <t>302</t>
  </si>
  <si>
    <t>자동차 차체 및 트레일러 제조업</t>
  </si>
  <si>
    <t>Manufacture of Bodies for Motor Vehicles ; Manufacture of Trailers and Semitrailers</t>
  </si>
  <si>
    <t>3020</t>
  </si>
  <si>
    <t>30201</t>
  </si>
  <si>
    <t>차체 및 특장차 제조업</t>
  </si>
  <si>
    <t>Manufacture of Motor Vehicle Bodies and Motor Vehicles Assembled on Purchased Chassis</t>
  </si>
  <si>
    <t>30202</t>
  </si>
  <si>
    <t>트레일러 및 세미트레일러 제조업</t>
  </si>
  <si>
    <t>Manufacture of Trailers and Semitrailers</t>
  </si>
  <si>
    <t>30203</t>
  </si>
  <si>
    <t>운송용 컨테이너 제조업</t>
  </si>
  <si>
    <t>Manufacture of Containers for Carriage</t>
  </si>
  <si>
    <t>303</t>
  </si>
  <si>
    <t>자동차 부품 제조업</t>
  </si>
  <si>
    <t>Manufacture of Parts and Accessories for Motor Vehicles and Engines</t>
  </si>
  <si>
    <t>3031</t>
  </si>
  <si>
    <t>자동차 엔진용 부품 제조업</t>
  </si>
  <si>
    <t>Manufacture of Parts and Accessories for Motor Engines</t>
  </si>
  <si>
    <t>30310</t>
  </si>
  <si>
    <t>3032</t>
  </si>
  <si>
    <t>자동차 차체용 부품 제조업</t>
  </si>
  <si>
    <t>Manufacture of Parts and Accessories for Motor Vehicle Body</t>
  </si>
  <si>
    <t>30320</t>
  </si>
  <si>
    <t>3039</t>
  </si>
  <si>
    <t>기타 자동차 부품 제조업</t>
  </si>
  <si>
    <t>Manufacture of Other Parts and Accessories for Motor Vehicles</t>
  </si>
  <si>
    <t>30391</t>
  </si>
  <si>
    <t>자동차용 동력전달장치 제조업</t>
  </si>
  <si>
    <t>Manufacture of Power Ttransmission for Motor Vehicles</t>
  </si>
  <si>
    <t>30392</t>
  </si>
  <si>
    <t>자동차용 전기장치 제조업</t>
  </si>
  <si>
    <t>Manufacture of Electrical Equipment for Motor Vehicles</t>
  </si>
  <si>
    <t>30399</t>
  </si>
  <si>
    <t>그외 기타 자동차 부품 제조업</t>
  </si>
  <si>
    <t>Manufacture of Other Parts and Accessories for Motor Vehicles n. e. c.</t>
  </si>
  <si>
    <t>31</t>
  </si>
  <si>
    <t>기타 운송장비 제조업</t>
  </si>
  <si>
    <t>Manufacture of Other Transport Equipment</t>
  </si>
  <si>
    <t>311</t>
  </si>
  <si>
    <t>선박 및 보트 건조업</t>
  </si>
  <si>
    <t>Building of Ships and Boats</t>
  </si>
  <si>
    <t>3111</t>
  </si>
  <si>
    <t>선박 건조업</t>
  </si>
  <si>
    <t>Building of Ships</t>
  </si>
  <si>
    <t>31111</t>
  </si>
  <si>
    <t>강선 건조업</t>
  </si>
  <si>
    <t>Building of Steel Ships</t>
  </si>
  <si>
    <t>31112</t>
  </si>
  <si>
    <t>합성수지선 건조업</t>
  </si>
  <si>
    <t>Building of Synthetic resin Ships</t>
  </si>
  <si>
    <t>31113</t>
  </si>
  <si>
    <t>비철금속 선박 및 기타 항해용 선박 건조업</t>
  </si>
  <si>
    <t>Building of Non-ferrous Metal Ships and Other Sailing Ships</t>
  </si>
  <si>
    <t>31114</t>
  </si>
  <si>
    <t>선박 구성부분품 제조업</t>
  </si>
  <si>
    <t>Manufacture of Sections for Ships</t>
  </si>
  <si>
    <t>31119</t>
  </si>
  <si>
    <t>기타 선박 건조업</t>
  </si>
  <si>
    <t>Other Building and Repairing of Ships and Boats</t>
  </si>
  <si>
    <t>3112</t>
  </si>
  <si>
    <t>오락 및 스포츠용 보트 건조업</t>
  </si>
  <si>
    <t>Building of Pleasure and Sporting Boats</t>
  </si>
  <si>
    <t>31120</t>
  </si>
  <si>
    <t>312</t>
  </si>
  <si>
    <t>철도장비 제조업</t>
  </si>
  <si>
    <t>Manufacture of Railway and Tramway Locomotives and Rolling Stock</t>
  </si>
  <si>
    <t>3120</t>
  </si>
  <si>
    <t>31201</t>
  </si>
  <si>
    <t>기관차 및 기타 철도차량 제조업</t>
  </si>
  <si>
    <t>Manufacture of Locomotives and Railway Rolling Stock</t>
  </si>
  <si>
    <t>31202</t>
  </si>
  <si>
    <t>철도차량부품 및 관련장치물 제조업</t>
  </si>
  <si>
    <t>Manufacture of Parts for Railway Rolling Stock and Related Equipment</t>
  </si>
  <si>
    <t>313</t>
  </si>
  <si>
    <t>항공기,우주선 및 부품 제조업</t>
  </si>
  <si>
    <t>Manufacture of Aircraft, Spacecraft and its Parts</t>
  </si>
  <si>
    <t>3131</t>
  </si>
  <si>
    <t>항공기,우주선 및 보조장치 제조업</t>
  </si>
  <si>
    <t>Manufacture of Aircraft, Spacecraft and its Assistant Equipment</t>
  </si>
  <si>
    <t>31310</t>
  </si>
  <si>
    <t>3132</t>
  </si>
  <si>
    <t>항공기용 엔진 및 부품 제조업</t>
  </si>
  <si>
    <t>Manufacture of Engines and Parts for Aircraft</t>
  </si>
  <si>
    <t>31321</t>
  </si>
  <si>
    <t>항공기용 엔진 제조업</t>
  </si>
  <si>
    <t>Manufacture of Engines for Aircraft</t>
  </si>
  <si>
    <t>31322</t>
  </si>
  <si>
    <t>항공기용 부품 제조업</t>
  </si>
  <si>
    <t>Manufacture of Aircraft Parts and Accessories</t>
  </si>
  <si>
    <t>319</t>
  </si>
  <si>
    <t>그외 기타 운송장비 제조업</t>
  </si>
  <si>
    <t>3191</t>
  </si>
  <si>
    <t>전투용 차량 제조업</t>
  </si>
  <si>
    <t>Manufacture of Motor Vehicles for Combat</t>
  </si>
  <si>
    <t>31910</t>
  </si>
  <si>
    <t>3192</t>
  </si>
  <si>
    <t>모터사이클 제조업</t>
  </si>
  <si>
    <t>Manufacture of Motorcycles</t>
  </si>
  <si>
    <t>31920</t>
  </si>
  <si>
    <t>3199</t>
  </si>
  <si>
    <t>그외 기타 분류안된 운송장비 제조업</t>
  </si>
  <si>
    <t>Manufacture of Other Transport Equipment n.e.c.</t>
  </si>
  <si>
    <t>31991</t>
  </si>
  <si>
    <t>자전거 및 환자용 차량 제조업</t>
  </si>
  <si>
    <t>Manufacture of Bicycles and patient Carriages</t>
  </si>
  <si>
    <t>31999</t>
  </si>
  <si>
    <t>그외 기타 달리 분류되지 않은 운송장비 제조업</t>
  </si>
  <si>
    <t>32</t>
  </si>
  <si>
    <t>가구 제조업</t>
  </si>
  <si>
    <t>Manufacture of Furniture</t>
  </si>
  <si>
    <t>320</t>
  </si>
  <si>
    <t>3201</t>
  </si>
  <si>
    <t>침대 및 내장가구 제조업</t>
  </si>
  <si>
    <t>Manufacture of Beds and Upholstered Furniture</t>
  </si>
  <si>
    <t>32011</t>
  </si>
  <si>
    <t>운송장비용 의자 제조업</t>
  </si>
  <si>
    <t>Manufacture of Upholstered Seats for Transport Vehicles</t>
  </si>
  <si>
    <t>32012</t>
  </si>
  <si>
    <t>매트리스 및 침대 제조업</t>
  </si>
  <si>
    <t>Manufacture of Mattresses and Upholstered Furniture</t>
  </si>
  <si>
    <t>32019</t>
  </si>
  <si>
    <t>소파 및 기타 내장가구 제조업</t>
  </si>
  <si>
    <t>Manufacture of Sofas and Other Upholstered Furniture</t>
  </si>
  <si>
    <t>3202</t>
  </si>
  <si>
    <t>목재가구 제조업</t>
  </si>
  <si>
    <t>Manufacture of Wood Furniture</t>
  </si>
  <si>
    <t>32021</t>
  </si>
  <si>
    <t>주방용 및 음식점용 목재가구 제조업</t>
  </si>
  <si>
    <t>Manufacture of Wood Furniture for Kitchen and Restaurant</t>
  </si>
  <si>
    <t>32022</t>
  </si>
  <si>
    <t>나전칠기가구 제조업</t>
  </si>
  <si>
    <t>Manufacture of Wooden Furniture Lacquered or Incorporated Mother of Pearl</t>
  </si>
  <si>
    <t>32029</t>
  </si>
  <si>
    <t>기타 목재가구 제조업</t>
  </si>
  <si>
    <t>Manufacture of Other Wood Furniture</t>
  </si>
  <si>
    <t>3209</t>
  </si>
  <si>
    <t>기타 가구 제조업</t>
  </si>
  <si>
    <t>Manufacture of Other Furniture</t>
  </si>
  <si>
    <t>32091</t>
  </si>
  <si>
    <t>금속 가구 제조업</t>
  </si>
  <si>
    <t>Manufacture of Metal Furniture</t>
  </si>
  <si>
    <t>32099</t>
  </si>
  <si>
    <t>그외 기타 가구 제조업</t>
  </si>
  <si>
    <t>Manufacture of Other Furniture n.e.c.</t>
  </si>
  <si>
    <t>33</t>
  </si>
  <si>
    <t>기타 제품 제조업</t>
  </si>
  <si>
    <t>Other manufacturing</t>
  </si>
  <si>
    <t>331</t>
  </si>
  <si>
    <t>귀금속 및 장신용품 제조업</t>
  </si>
  <si>
    <t>Manufacture of Precious Metals and Ornamentations</t>
  </si>
  <si>
    <t>3311</t>
  </si>
  <si>
    <t>귀금속 및 관련제품 제조업</t>
  </si>
  <si>
    <t>Manufacture of Precious Metals and Related Articles</t>
  </si>
  <si>
    <t>33110</t>
  </si>
  <si>
    <t>3312</t>
  </si>
  <si>
    <t>모조 귀금속 및 모조 장신용품 제조업</t>
  </si>
  <si>
    <t>Manufacture of Imitation Precious Metals and Ornamentations</t>
  </si>
  <si>
    <t>33120</t>
  </si>
  <si>
    <t>332</t>
  </si>
  <si>
    <t>악기 제조업</t>
  </si>
  <si>
    <t>Manufacture of Musical Instruments</t>
  </si>
  <si>
    <t>3320</t>
  </si>
  <si>
    <t>악기제조업</t>
  </si>
  <si>
    <t>33201</t>
  </si>
  <si>
    <t>피아노 제조업</t>
  </si>
  <si>
    <t>Manufacture of Pianos</t>
  </si>
  <si>
    <t>33202</t>
  </si>
  <si>
    <t>현악기 제조업</t>
  </si>
  <si>
    <t>Manufacture of Stringed Instruments</t>
  </si>
  <si>
    <t>33203</t>
  </si>
  <si>
    <t>전자악기 제조업</t>
  </si>
  <si>
    <t>Manufacture of Electronic Musical Instruments</t>
  </si>
  <si>
    <t>33204</t>
  </si>
  <si>
    <t>국악기 제조업</t>
  </si>
  <si>
    <t>Manufacture of Korean Traditional Musical Instruments</t>
  </si>
  <si>
    <t>33209</t>
  </si>
  <si>
    <t>기타 악기 제조업</t>
  </si>
  <si>
    <t>Manufacture of Other Musical Instruments</t>
  </si>
  <si>
    <t>333</t>
  </si>
  <si>
    <t>운동 및 경기용구 제조업</t>
  </si>
  <si>
    <t>Manufacture of Sports and Athletic Goods</t>
  </si>
  <si>
    <t>3330</t>
  </si>
  <si>
    <t>33301</t>
  </si>
  <si>
    <t>체조, 육상 및 체력단련용 장비 제조업</t>
  </si>
  <si>
    <t>Manufacture of Gymnasium, Sports Articles and Equipment</t>
  </si>
  <si>
    <t>33302</t>
  </si>
  <si>
    <t>놀이터용 장비 제조업</t>
  </si>
  <si>
    <t>Manufacture of Playground Equipment</t>
  </si>
  <si>
    <t>33303</t>
  </si>
  <si>
    <t>낚시 및 수렵용구 제조업</t>
  </si>
  <si>
    <t>Manufacture of Angling and Hunting Equipment</t>
  </si>
  <si>
    <t>33309</t>
  </si>
  <si>
    <t>기타 운동 및 경기용구 제조업</t>
  </si>
  <si>
    <t>Manufacture of Other Sports and Athletic Goods</t>
  </si>
  <si>
    <t>334</t>
  </si>
  <si>
    <t>인형,장난감 및 오락용품 제조업</t>
  </si>
  <si>
    <t>Manufacture of Dolls, Toys and Games</t>
  </si>
  <si>
    <t>3340</t>
  </si>
  <si>
    <t>Manufacture of Games and Toys</t>
  </si>
  <si>
    <t>33401</t>
  </si>
  <si>
    <t>인형 및 장난감 제조업</t>
  </si>
  <si>
    <t>Manufacture of Dolls and Toys</t>
  </si>
  <si>
    <t>33402</t>
  </si>
  <si>
    <t>영상게임기 제조업</t>
  </si>
  <si>
    <t>Manufacture of Video Games</t>
  </si>
  <si>
    <t>33409</t>
  </si>
  <si>
    <t>기타 오락용품 제조업</t>
  </si>
  <si>
    <t>Manufacture of Other Game Articles, n.e.c</t>
  </si>
  <si>
    <t>339</t>
  </si>
  <si>
    <t>그외 기타 제품 제조업</t>
  </si>
  <si>
    <t>Other Manufacturing n.e.c.</t>
  </si>
  <si>
    <t>3391</t>
  </si>
  <si>
    <t>간판 및 광고물 제조업</t>
  </si>
  <si>
    <t>Manufacture of Signs and Advertising Displays</t>
  </si>
  <si>
    <t>33910</t>
  </si>
  <si>
    <t>3392</t>
  </si>
  <si>
    <t>사무 및 회화용품 제조업</t>
  </si>
  <si>
    <t>Manufacture of Office and Artists' Materials</t>
  </si>
  <si>
    <t>33920</t>
  </si>
  <si>
    <t>3393</t>
  </si>
  <si>
    <t>가발, 장식용품 및 교시용 모형 제조업</t>
  </si>
  <si>
    <t>Manufacture of Wigs, Ornaments and Instructive Models</t>
  </si>
  <si>
    <t>33931</t>
  </si>
  <si>
    <t>가발 및 유사 제품 제조업</t>
  </si>
  <si>
    <t>Manufacture of Wigs and Similar Articles</t>
  </si>
  <si>
    <t>33932</t>
  </si>
  <si>
    <t>조화 및 모조장식품 제조업</t>
  </si>
  <si>
    <t>Manufacture of Artificial Flowers and Imitative Ornamental Articles</t>
  </si>
  <si>
    <t>33933</t>
  </si>
  <si>
    <t>표구 및 전사처리 제조업</t>
  </si>
  <si>
    <t>Manufacture of Mounted Arts</t>
  </si>
  <si>
    <t>33934</t>
  </si>
  <si>
    <t>교시용 모형 제조업</t>
  </si>
  <si>
    <t>Manufacture of Instructive Apparatuses and Models</t>
  </si>
  <si>
    <t>3399</t>
  </si>
  <si>
    <t>그외 기타 분류안된 제품 제조업</t>
  </si>
  <si>
    <t>33991</t>
  </si>
  <si>
    <t>우산 및 지팡이 제조업</t>
  </si>
  <si>
    <t>Manufacture of Umbrellas and Walking Sticks</t>
  </si>
  <si>
    <t>33992</t>
  </si>
  <si>
    <t>단추 및 유사 파스너 제조업</t>
  </si>
  <si>
    <t>Manufacture of Buttons and Snaps, Slides and Similar Fasteners</t>
  </si>
  <si>
    <t>33993</t>
  </si>
  <si>
    <t>라이터, 연소물 및 흡연용품 제조업</t>
  </si>
  <si>
    <t>Manufacture of Mechanical Lighters, Combustible Materials and Smoking Supplies</t>
  </si>
  <si>
    <t>33994</t>
  </si>
  <si>
    <t>비 및 솔 제조업</t>
  </si>
  <si>
    <t>Manufacture of Brushes and Brooms</t>
  </si>
  <si>
    <t>33999</t>
  </si>
  <si>
    <t>그외 기타 달리 분류되지 않은 제품 제조업</t>
  </si>
  <si>
    <t>35</t>
  </si>
  <si>
    <t>전기, 가스, 증기 및 공기조절 공급업</t>
  </si>
  <si>
    <t>Electricity, gas, steam and air conditioning supply</t>
  </si>
  <si>
    <t>351</t>
  </si>
  <si>
    <t>전기업</t>
  </si>
  <si>
    <t>Production, Collection and Distribution of Electricity</t>
  </si>
  <si>
    <t>3511</t>
  </si>
  <si>
    <t>발전업</t>
  </si>
  <si>
    <t>35111</t>
  </si>
  <si>
    <t>원자력 발전업</t>
  </si>
  <si>
    <t>Nuclear Power Generation</t>
  </si>
  <si>
    <t>35112</t>
  </si>
  <si>
    <t>수력 발전업</t>
  </si>
  <si>
    <t>Hydroelectric Power Generation</t>
  </si>
  <si>
    <t>35113</t>
  </si>
  <si>
    <t>화력 발전업</t>
  </si>
  <si>
    <t>Fire Power Generation</t>
  </si>
  <si>
    <t>35119</t>
  </si>
  <si>
    <t>기타 발전업</t>
  </si>
  <si>
    <t>Other Generation</t>
  </si>
  <si>
    <t>3512</t>
  </si>
  <si>
    <t>송전 및 배전업</t>
  </si>
  <si>
    <t>Transmission and Distribution of Electric Power</t>
  </si>
  <si>
    <t>35120</t>
  </si>
  <si>
    <t>352</t>
  </si>
  <si>
    <t>가스 제조 및 배관공급업</t>
  </si>
  <si>
    <t>Manufacture of Gas, Distribution of Gaseous Fuel Through Mains</t>
  </si>
  <si>
    <t>3520</t>
  </si>
  <si>
    <t>35200</t>
  </si>
  <si>
    <t>353</t>
  </si>
  <si>
    <t>증기, 냉온수 및 공기조절 공급업</t>
  </si>
  <si>
    <t>Steam, Chilled or Hot Water and Air Conditioning Supply</t>
  </si>
  <si>
    <t>3530</t>
  </si>
  <si>
    <t>35300</t>
  </si>
  <si>
    <t>36</t>
  </si>
  <si>
    <t>수도사업</t>
  </si>
  <si>
    <t>Water Supply</t>
  </si>
  <si>
    <t>360</t>
  </si>
  <si>
    <t>3601</t>
  </si>
  <si>
    <t>생활용수 공급업</t>
  </si>
  <si>
    <t>Collection, Purification and Distribution of Water to Household</t>
  </si>
  <si>
    <t>36010</t>
  </si>
  <si>
    <t>3602</t>
  </si>
  <si>
    <t>산업용수 공급업</t>
  </si>
  <si>
    <t>Collection, Purification and Distribution of Water to Industrial or Commercial</t>
  </si>
  <si>
    <t>36020</t>
  </si>
  <si>
    <t>37</t>
  </si>
  <si>
    <t>하수, 폐수 및 분뇨 처리업</t>
  </si>
  <si>
    <t>Sewage, Wastewater and Human Waste Treatment Services</t>
  </si>
  <si>
    <t>370</t>
  </si>
  <si>
    <t>3701</t>
  </si>
  <si>
    <t>하수 및 폐수 처리업</t>
  </si>
  <si>
    <t>Sewage and Wastewater Treatment Services</t>
  </si>
  <si>
    <t>37011</t>
  </si>
  <si>
    <t>하수 처리업</t>
  </si>
  <si>
    <t>Sewage Treatment Services</t>
  </si>
  <si>
    <t>37012</t>
  </si>
  <si>
    <t>폐수 처리업</t>
  </si>
  <si>
    <t>Wastewater Treatment Services</t>
  </si>
  <si>
    <t>3702</t>
  </si>
  <si>
    <t>분뇨 및 축산분뇨 처리업</t>
  </si>
  <si>
    <t>Human and Animal Waste Treatment Services</t>
  </si>
  <si>
    <t>37021</t>
  </si>
  <si>
    <t>분뇨 처리업</t>
  </si>
  <si>
    <t>Human Waste Treatment Services</t>
  </si>
  <si>
    <t>37022</t>
  </si>
  <si>
    <t>축산분뇨 처리업</t>
  </si>
  <si>
    <t>Animal Waste Treatment Services</t>
  </si>
  <si>
    <t>38</t>
  </si>
  <si>
    <t>폐기물 수집운반, 처리 및 원료재생업</t>
  </si>
  <si>
    <t>Waste Collection, Disposal and Materials Recovery</t>
  </si>
  <si>
    <t>381</t>
  </si>
  <si>
    <t>폐기물 수집운반업</t>
  </si>
  <si>
    <t>Waste Collection</t>
  </si>
  <si>
    <t>3811</t>
  </si>
  <si>
    <t>지정외 폐기물 수집운반업</t>
  </si>
  <si>
    <t>Non-Hazardous Waste Collection</t>
  </si>
  <si>
    <t>38110</t>
  </si>
  <si>
    <t>3812</t>
  </si>
  <si>
    <t>지정 폐기물 수집운반업</t>
  </si>
  <si>
    <t>Hazardous Waste Collection</t>
  </si>
  <si>
    <t>38120</t>
  </si>
  <si>
    <t>3813</t>
  </si>
  <si>
    <t>건설 폐기물 수집운반업</t>
  </si>
  <si>
    <t>Construction and Demolition Waste Collection</t>
  </si>
  <si>
    <t>38130</t>
  </si>
  <si>
    <t>382</t>
  </si>
  <si>
    <t>폐기물 처리업</t>
  </si>
  <si>
    <t>Waste Treatment Services</t>
  </si>
  <si>
    <t>3821</t>
  </si>
  <si>
    <t>지정외 폐기물 처리업</t>
  </si>
  <si>
    <t>Disposal of Non-Hazardous Waste</t>
  </si>
  <si>
    <t>38210</t>
  </si>
  <si>
    <t>3822</t>
  </si>
  <si>
    <t>지정 폐기물 처리업</t>
  </si>
  <si>
    <t>Disposal of Hazardous Waste</t>
  </si>
  <si>
    <t>38220</t>
  </si>
  <si>
    <t>3823</t>
  </si>
  <si>
    <t>건설 폐기물 처리업</t>
  </si>
  <si>
    <t>Disposal of Construction and Demolition Waste</t>
  </si>
  <si>
    <t>38230</t>
  </si>
  <si>
    <t>3824</t>
  </si>
  <si>
    <t>방사성 폐기물 수집운반 및 처리업</t>
  </si>
  <si>
    <t>Disposal of Radioactive Waste</t>
  </si>
  <si>
    <t>38240</t>
  </si>
  <si>
    <t>383</t>
  </si>
  <si>
    <t>금속 및 비금속 원료 재생업</t>
  </si>
  <si>
    <t>Recovery of Metal and Non-Metal Waste and Scrap</t>
  </si>
  <si>
    <t>3830</t>
  </si>
  <si>
    <t>38301</t>
  </si>
  <si>
    <t>금속원료 재생업</t>
  </si>
  <si>
    <t>Recovery of Metal Waste and Scrap</t>
  </si>
  <si>
    <t>38302</t>
  </si>
  <si>
    <t>비금속원료 재생업</t>
  </si>
  <si>
    <t>Recovery of Non-Metal Waste and Scrap</t>
  </si>
  <si>
    <t>39</t>
  </si>
  <si>
    <t>환경 정화 및 복원업</t>
  </si>
  <si>
    <t>Remediation activities and other waste management services</t>
  </si>
  <si>
    <t>390</t>
  </si>
  <si>
    <t>3900</t>
  </si>
  <si>
    <t>39001</t>
  </si>
  <si>
    <t>토양 및 지하수 정화업</t>
  </si>
  <si>
    <t>Decontamination Activities of Soils and Groundwater</t>
  </si>
  <si>
    <t>39009</t>
  </si>
  <si>
    <t>기타 환경 정화 및 복원업</t>
  </si>
  <si>
    <t>Other Decontamination and Restoration Activities of Environment</t>
  </si>
  <si>
    <t>41</t>
  </si>
  <si>
    <t>종합 건설업</t>
  </si>
  <si>
    <t>General Construction</t>
  </si>
  <si>
    <t>411</t>
  </si>
  <si>
    <t>건물 건설업</t>
  </si>
  <si>
    <t>Constructions</t>
  </si>
  <si>
    <t>4111</t>
  </si>
  <si>
    <t>주거용 건물 건설업</t>
  </si>
  <si>
    <t>Residential Building Construction</t>
  </si>
  <si>
    <t>41111</t>
  </si>
  <si>
    <t>단독 및 연립주택 건설업</t>
  </si>
  <si>
    <t>Detached and Tenement Building Construction</t>
  </si>
  <si>
    <t>41112</t>
  </si>
  <si>
    <t>아파트 건설업</t>
  </si>
  <si>
    <t>Apartment Building Construction</t>
  </si>
  <si>
    <t>4112</t>
  </si>
  <si>
    <t>비주거용 건물 건설업</t>
  </si>
  <si>
    <t>Non-Residential Building Construction</t>
  </si>
  <si>
    <t>41121</t>
  </si>
  <si>
    <t>사무 및 상업용 건물 건설업</t>
  </si>
  <si>
    <t>Office and Commercial Building Construction</t>
  </si>
  <si>
    <t>41122</t>
  </si>
  <si>
    <t>공업 및 유사 산업용 건물 건설업</t>
  </si>
  <si>
    <t>Industrial and Similar Industrial Building Construction</t>
  </si>
  <si>
    <t>41129</t>
  </si>
  <si>
    <t>기타 비주거용 건물 건설업</t>
  </si>
  <si>
    <t>Other Non-Residential Building Construction</t>
  </si>
  <si>
    <t>412</t>
  </si>
  <si>
    <t>토목 건설업</t>
  </si>
  <si>
    <t>Heavy Construction</t>
  </si>
  <si>
    <t>4121</t>
  </si>
  <si>
    <t>지반조성 건설업</t>
  </si>
  <si>
    <t>Land Subdivision with Land Improvement</t>
  </si>
  <si>
    <t>41210</t>
  </si>
  <si>
    <t>4122</t>
  </si>
  <si>
    <t>토목시설물 건설업</t>
  </si>
  <si>
    <t>Civil Engineering Construction</t>
  </si>
  <si>
    <t>41221</t>
  </si>
  <si>
    <t>도로 건설업</t>
  </si>
  <si>
    <t>Construction of Highways, Streets and Roads</t>
  </si>
  <si>
    <t>41222</t>
  </si>
  <si>
    <t>교량, 터널 및 철도 건설업</t>
  </si>
  <si>
    <t>Construction of Bridges, Tunnels and Railways</t>
  </si>
  <si>
    <t>41223</t>
  </si>
  <si>
    <t>수로, 댐 및 급 · 배수시설 건설업</t>
  </si>
  <si>
    <t>Construction of Waterways, Dams and Other Water Works</t>
  </si>
  <si>
    <t>41224</t>
  </si>
  <si>
    <t>폐기물처리 및 오염방지시설 건설업</t>
  </si>
  <si>
    <t>Installation of Environmental Hygience Treatment Appliances</t>
  </si>
  <si>
    <t>41225</t>
  </si>
  <si>
    <t>산업플랜트 건설업</t>
  </si>
  <si>
    <t>Construction of Industrial Plants</t>
  </si>
  <si>
    <t>41226</t>
  </si>
  <si>
    <t>조경 건설업</t>
  </si>
  <si>
    <t>Landscaping Works</t>
  </si>
  <si>
    <t>41229</t>
  </si>
  <si>
    <t>기타 토목시설물 건설업</t>
  </si>
  <si>
    <t>Other Civil Engineering Construction</t>
  </si>
  <si>
    <t>42</t>
  </si>
  <si>
    <t>전문직별 공사업</t>
  </si>
  <si>
    <t>Special Trade Construction</t>
  </si>
  <si>
    <t>421</t>
  </si>
  <si>
    <t>기반조성 및 시설물 축조관련 전문공사업</t>
  </si>
  <si>
    <t>Site Preparation and Special Trade Construction for Civil Engineering and Buildings</t>
  </si>
  <si>
    <t>4211</t>
  </si>
  <si>
    <t>건물 및 구축물 해체 공사업</t>
  </si>
  <si>
    <t>Wrecking and Demolition of Buildings and Other Structures</t>
  </si>
  <si>
    <t>42110</t>
  </si>
  <si>
    <t>4212</t>
  </si>
  <si>
    <t>기반조성 관련 전문공사업</t>
  </si>
  <si>
    <t>Site Preparation Relatrd Special Trade Construction for Civil Engineering</t>
  </si>
  <si>
    <t>42121</t>
  </si>
  <si>
    <t>토공사업</t>
  </si>
  <si>
    <t>Excavating and earthmoving</t>
  </si>
  <si>
    <t>42122</t>
  </si>
  <si>
    <t>보링, 그라우팅 및 굴정 공사업</t>
  </si>
  <si>
    <t>Boring, Grouting and Water Well Drilling Works</t>
  </si>
  <si>
    <t>42123</t>
  </si>
  <si>
    <t>파일공사 및 축조관련 기초 공사업</t>
  </si>
  <si>
    <t>Pile Driving and Related Construction Foundation Works</t>
  </si>
  <si>
    <t>42129</t>
  </si>
  <si>
    <t>기타 기반조성 관련 전문공사업</t>
  </si>
  <si>
    <t>Other Site Preparation Special Trade Construction for Civil Engineering</t>
  </si>
  <si>
    <t>4213</t>
  </si>
  <si>
    <t>시설물 축조 관련 전문공사업</t>
  </si>
  <si>
    <t>Special Trade Construction for Buildings</t>
  </si>
  <si>
    <t>42131</t>
  </si>
  <si>
    <t>철골 공사업</t>
  </si>
  <si>
    <t>Steel Frame Works</t>
  </si>
  <si>
    <t>42132</t>
  </si>
  <si>
    <t>철근 및 철근콘크리트 공사업</t>
  </si>
  <si>
    <t>Steel Reinforcing and Reinforced Concrete Works</t>
  </si>
  <si>
    <t>42133</t>
  </si>
  <si>
    <t>조적 및 석축 공사업</t>
  </si>
  <si>
    <t>Brick Laying and Stone Setting Works</t>
  </si>
  <si>
    <t>42134</t>
  </si>
  <si>
    <t>포장 공사업</t>
  </si>
  <si>
    <t>Pavement Works</t>
  </si>
  <si>
    <t>42135</t>
  </si>
  <si>
    <t>철도궤도 전문공사업</t>
  </si>
  <si>
    <t>Special Railway Laying Works</t>
  </si>
  <si>
    <t>42136</t>
  </si>
  <si>
    <t>수중 공사업</t>
  </si>
  <si>
    <t>Underwater Works</t>
  </si>
  <si>
    <t>42137</t>
  </si>
  <si>
    <t>비계 및 형틀 공사업</t>
  </si>
  <si>
    <t>Scaffolding and Frame Works</t>
  </si>
  <si>
    <t>42139</t>
  </si>
  <si>
    <t>기타 시설물 축조관련 전문공사업</t>
  </si>
  <si>
    <t>Other Special Trade Construction for Civil Engineering</t>
  </si>
  <si>
    <t>422</t>
  </si>
  <si>
    <t>건물설비 설치 공사업</t>
  </si>
  <si>
    <t>Building Installation</t>
  </si>
  <si>
    <t>4220</t>
  </si>
  <si>
    <t>42201</t>
  </si>
  <si>
    <t>배관 및 냉·난방 공사업</t>
  </si>
  <si>
    <t>Heating, Air Conditioning and Plumbing Related Works</t>
  </si>
  <si>
    <t>42202</t>
  </si>
  <si>
    <t>건물용 기계장비 설치 공사업</t>
  </si>
  <si>
    <t>Installation of Machinery Equipment for Building</t>
  </si>
  <si>
    <t>42203</t>
  </si>
  <si>
    <t>방음 및 내화 공사업</t>
  </si>
  <si>
    <t>Waterproofing, Soundproofing and Fireproofing Works</t>
  </si>
  <si>
    <t>42204</t>
  </si>
  <si>
    <t>소방시설 공사업</t>
  </si>
  <si>
    <t>Fire Fighting Installation</t>
  </si>
  <si>
    <t>42209</t>
  </si>
  <si>
    <t>기타 건물설비 설치 공사업</t>
  </si>
  <si>
    <t>Other Building Installation</t>
  </si>
  <si>
    <t>423</t>
  </si>
  <si>
    <t>전기 및 통신 공사업</t>
  </si>
  <si>
    <t>Electrical and Communication Works</t>
  </si>
  <si>
    <t>4231</t>
  </si>
  <si>
    <t>전기 공사업</t>
  </si>
  <si>
    <t>Electrical Works</t>
  </si>
  <si>
    <t>42311</t>
  </si>
  <si>
    <t>일반전기 공사업</t>
  </si>
  <si>
    <t>Electrical Works for Heavy Construction</t>
  </si>
  <si>
    <t>42312</t>
  </si>
  <si>
    <t>내부 전기배선 공사업</t>
  </si>
  <si>
    <t>Electrical Works for Building</t>
  </si>
  <si>
    <t>4232</t>
  </si>
  <si>
    <t>통신 공사업</t>
  </si>
  <si>
    <t>Communication Works</t>
  </si>
  <si>
    <t>42321</t>
  </si>
  <si>
    <t>일반 통신 공사업</t>
  </si>
  <si>
    <t>Communication Equipment Installation</t>
  </si>
  <si>
    <t>42322</t>
  </si>
  <si>
    <t>내부 통신배선 공사업</t>
  </si>
  <si>
    <t>Interior Building Installation for Communication Equipment</t>
  </si>
  <si>
    <t>424</t>
  </si>
  <si>
    <t>실내건축 및 건축마무리 공사업</t>
  </si>
  <si>
    <t>Interior and Building Completion</t>
  </si>
  <si>
    <t>4241</t>
  </si>
  <si>
    <t>도장, 도배 및 내장 공사업</t>
  </si>
  <si>
    <t>Painting, Paper Hanging and Decorating Works</t>
  </si>
  <si>
    <t>42411</t>
  </si>
  <si>
    <t>도장 공사업</t>
  </si>
  <si>
    <t>Painting Works</t>
  </si>
  <si>
    <t>42412</t>
  </si>
  <si>
    <t>도배, 실내장식 및 내장 목공사업</t>
  </si>
  <si>
    <t>Paper Hanging, Decorating and Carpentry Works</t>
  </si>
  <si>
    <t>4242</t>
  </si>
  <si>
    <t>유리 및 창호 공사업</t>
  </si>
  <si>
    <t>Glazing Works and Erection of Doors</t>
  </si>
  <si>
    <t>42420</t>
  </si>
  <si>
    <t>4249</t>
  </si>
  <si>
    <t>기타 건축마무리 공사업</t>
  </si>
  <si>
    <t>Other Building Completion</t>
  </si>
  <si>
    <t>42491</t>
  </si>
  <si>
    <t>미장, 타일 및 방수 공사업</t>
  </si>
  <si>
    <t>Plastering and Tile Works</t>
  </si>
  <si>
    <t>42492</t>
  </si>
  <si>
    <t>건물용 금속공작물 설치 공사업</t>
  </si>
  <si>
    <t>Installation of Ornamental Metal Structures</t>
  </si>
  <si>
    <t>42499</t>
  </si>
  <si>
    <t>그외 기타 건축마무리 공사업</t>
  </si>
  <si>
    <t>Other Building Completion n.e.c.</t>
  </si>
  <si>
    <t>425</t>
  </si>
  <si>
    <t>건설장비 운영업</t>
  </si>
  <si>
    <t>Renting of Construction or Demolition Equipment with Operator</t>
  </si>
  <si>
    <t>4250</t>
  </si>
  <si>
    <t>42500</t>
  </si>
  <si>
    <t>45</t>
  </si>
  <si>
    <t>자동차 및 부품 판매업</t>
  </si>
  <si>
    <t>Sale of Motor Vehicles and Parts</t>
  </si>
  <si>
    <t>451</t>
  </si>
  <si>
    <t>자동차 판매업</t>
  </si>
  <si>
    <t>Sale of Motor Vehicles</t>
  </si>
  <si>
    <t>4511</t>
  </si>
  <si>
    <t>자동차 신품 판매업</t>
  </si>
  <si>
    <t>Sale of New Motor Vehicles</t>
  </si>
  <si>
    <t>45110</t>
  </si>
  <si>
    <t>4512</t>
  </si>
  <si>
    <t>중고 자동차 판매업</t>
  </si>
  <si>
    <t>Sale of Used Motor Vehicles</t>
  </si>
  <si>
    <t>45120</t>
  </si>
  <si>
    <t>452</t>
  </si>
  <si>
    <t>자동차 부품 및 내장품 판매업</t>
  </si>
  <si>
    <t>Sale of Motor Vehicle Parts and Accessories</t>
  </si>
  <si>
    <t>4521</t>
  </si>
  <si>
    <t>자동차신품 부품 및 내장품 판매업</t>
  </si>
  <si>
    <t>Sale of Motor Vehicle New Parts and Accessories</t>
  </si>
  <si>
    <t>45211</t>
  </si>
  <si>
    <t>자동차 타이어 및 튜브 판매업</t>
  </si>
  <si>
    <t>Sale of Motor Vehicle New Tires and Tubes</t>
  </si>
  <si>
    <t>45219</t>
  </si>
  <si>
    <t>기타 자동차신품 부품 및 내장품 판매업</t>
  </si>
  <si>
    <t>Sale of Other Motor Vehicle New Parts and Accessories</t>
  </si>
  <si>
    <t>4522</t>
  </si>
  <si>
    <t>자동차중고 부품 및 내장품 판매업</t>
  </si>
  <si>
    <t>Sale of Motor Vehicle Used Parts and Accessories</t>
  </si>
  <si>
    <t>45220</t>
  </si>
  <si>
    <t>453</t>
  </si>
  <si>
    <t>모터사이클 및 부품 판매업</t>
  </si>
  <si>
    <t>Sale of Motorcycles and Related Parts and Accessories</t>
  </si>
  <si>
    <t>4530</t>
  </si>
  <si>
    <t>45301</t>
  </si>
  <si>
    <t>모터사이클 및 부품 도매업</t>
  </si>
  <si>
    <t>45302</t>
  </si>
  <si>
    <t>모터사이클 및 부품 소매업</t>
  </si>
  <si>
    <t>46</t>
  </si>
  <si>
    <t>도매 및 상품중개업</t>
  </si>
  <si>
    <t>Wholesale Trade and Commission Trade, Except of Motor Vehicles and Motorcycles</t>
  </si>
  <si>
    <t>461</t>
  </si>
  <si>
    <t>상품 중개업</t>
  </si>
  <si>
    <t>Wholesale on a Fee or Contract Basis</t>
  </si>
  <si>
    <t>4610</t>
  </si>
  <si>
    <t>46101</t>
  </si>
  <si>
    <t>산업용 농축산물 및 산동물 중개업</t>
  </si>
  <si>
    <t>Brokerage of Industrial Agricultural Raw Materials and Live Animals</t>
  </si>
  <si>
    <t>46102</t>
  </si>
  <si>
    <t>음·식료품 및 담배 중개업</t>
  </si>
  <si>
    <t>Brokerage of Food, Beverages and Tobaccos</t>
  </si>
  <si>
    <t>46103</t>
  </si>
  <si>
    <t>섬유, 의복, 신발 및 가죽제품 중개업</t>
  </si>
  <si>
    <t>Brokerage of Textiles, Clothing, Footwear and Fur Articles</t>
  </si>
  <si>
    <t>46104</t>
  </si>
  <si>
    <t>기계장비 중개업</t>
  </si>
  <si>
    <t>Brokerage of Machinery Equipment</t>
  </si>
  <si>
    <t>46105</t>
  </si>
  <si>
    <t>상품종합 중개업</t>
  </si>
  <si>
    <t>Brokerage of a Variety of Goods</t>
  </si>
  <si>
    <t>46109</t>
  </si>
  <si>
    <t>기타 상품 중개업</t>
  </si>
  <si>
    <t>Brokerage of Other Commodity</t>
  </si>
  <si>
    <t>462</t>
  </si>
  <si>
    <t>산업용 농축산물 및 산동물 도매업</t>
  </si>
  <si>
    <t>Wholesale of Agricultural Raw Materials and Live Animals</t>
  </si>
  <si>
    <t>4620</t>
  </si>
  <si>
    <t>46201</t>
  </si>
  <si>
    <t>곡물 도매업</t>
  </si>
  <si>
    <t>Wholesale of Grains</t>
  </si>
  <si>
    <t>46202</t>
  </si>
  <si>
    <t>종자 및 묘목 도매업</t>
  </si>
  <si>
    <t>Wholesale of Seeds and seedling</t>
  </si>
  <si>
    <t>46203</t>
  </si>
  <si>
    <t>사료 도매업</t>
  </si>
  <si>
    <t>Wholesale of Animal Feeds</t>
  </si>
  <si>
    <t>46204</t>
  </si>
  <si>
    <t>화초 및 산식물 도매업</t>
  </si>
  <si>
    <t>Wholesale of Flowers and Plants</t>
  </si>
  <si>
    <t>46205</t>
  </si>
  <si>
    <t>산동물 도매업</t>
  </si>
  <si>
    <t>Wholesale of Live Animals</t>
  </si>
  <si>
    <t>46209</t>
  </si>
  <si>
    <t>기타 산업용 농산물 및 산동물 도매업</t>
  </si>
  <si>
    <t>Wholesale of Other Agricultural Raw Materials and Live Animals</t>
  </si>
  <si>
    <t>463</t>
  </si>
  <si>
    <t>음·식료품 및 담배 도매업</t>
  </si>
  <si>
    <t>Wholesale of Food, Beverages and Tobaccos</t>
  </si>
  <si>
    <t>4631</t>
  </si>
  <si>
    <t>비가공 식품 도매업</t>
  </si>
  <si>
    <t>Wholesale of Food</t>
  </si>
  <si>
    <t>46311</t>
  </si>
  <si>
    <t>과실 및 채소 도매업</t>
  </si>
  <si>
    <t>Wholesale of Fruit and Vegetables</t>
  </si>
  <si>
    <t>46312</t>
  </si>
  <si>
    <t>육류 도매업</t>
  </si>
  <si>
    <t>Wholesale of Meat</t>
  </si>
  <si>
    <t>46313</t>
  </si>
  <si>
    <t>수산물 도매업</t>
  </si>
  <si>
    <t>Wholesale of Fishes</t>
  </si>
  <si>
    <t>46319</t>
  </si>
  <si>
    <t>기타 비가공 식품 도매업</t>
  </si>
  <si>
    <t>Wholesale of Other Food</t>
  </si>
  <si>
    <t>4632</t>
  </si>
  <si>
    <t>가공식품 도매업</t>
  </si>
  <si>
    <t>Wholesale of Prepared Food</t>
  </si>
  <si>
    <t>46321</t>
  </si>
  <si>
    <t>육류 가공식품 도매업</t>
  </si>
  <si>
    <t>Wholesale of Meat Products</t>
  </si>
  <si>
    <t>46322</t>
  </si>
  <si>
    <t>수산물 가공식품 도매업</t>
  </si>
  <si>
    <t>Wholesale of Fishery Products</t>
  </si>
  <si>
    <t>46323</t>
  </si>
  <si>
    <t>빵 및 과자 도매업</t>
  </si>
  <si>
    <t>Wholesale of Sugar, Flour Confectionery and Bakery Products</t>
  </si>
  <si>
    <t>46324</t>
  </si>
  <si>
    <t>낙농품 도매업</t>
  </si>
  <si>
    <t>Wholesale of Dairy Products</t>
  </si>
  <si>
    <t>46329</t>
  </si>
  <si>
    <t>기타 가공식품 도매업</t>
  </si>
  <si>
    <t>Wholesale of Other Prepared Food</t>
  </si>
  <si>
    <t>4633</t>
  </si>
  <si>
    <t>음료 및 담배 도매업</t>
  </si>
  <si>
    <t>Wholesale of Beverages and Tobacco</t>
  </si>
  <si>
    <t>46331</t>
  </si>
  <si>
    <t>주류 도매업</t>
  </si>
  <si>
    <t>Wholesale of Alcoholic Beverages</t>
  </si>
  <si>
    <t>46332</t>
  </si>
  <si>
    <t>비알콜음료 도매업</t>
  </si>
  <si>
    <t>Wholesale of Nonalcoholic Beverages</t>
  </si>
  <si>
    <t>46333</t>
  </si>
  <si>
    <t>담배 도매업</t>
  </si>
  <si>
    <t>Wholesale of Tobacco</t>
  </si>
  <si>
    <t>464</t>
  </si>
  <si>
    <t>가정용품 도매업</t>
  </si>
  <si>
    <t>Wholesale of Household Goods</t>
  </si>
  <si>
    <t>4641</t>
  </si>
  <si>
    <t>가정용 섬유, 의복 및 의복액세서리 도매업</t>
  </si>
  <si>
    <t>Wholesale of Household Textiles and Wear Accessories</t>
  </si>
  <si>
    <t>46411</t>
  </si>
  <si>
    <t>가정용 섬유 및 실 도매업</t>
  </si>
  <si>
    <t>Wholesale of Textiles and Threads</t>
  </si>
  <si>
    <t>46412</t>
  </si>
  <si>
    <t>커튼 및 침구용품 도매업</t>
  </si>
  <si>
    <t>Wholesale of Curtains and Bedding</t>
  </si>
  <si>
    <t>46413</t>
  </si>
  <si>
    <t>셔츠 및 외의 도매업</t>
  </si>
  <si>
    <t>Wholesale of Shirts and Outer Garments</t>
  </si>
  <si>
    <t>46414</t>
  </si>
  <si>
    <t>유아용 의류 도매업</t>
  </si>
  <si>
    <t>Wholesale of Infant Wearing Apparel</t>
  </si>
  <si>
    <t>46415</t>
  </si>
  <si>
    <t>내의 도매업</t>
  </si>
  <si>
    <t>Wholesale of Underwear</t>
  </si>
  <si>
    <t>46416</t>
  </si>
  <si>
    <t>가죽 및 모피제품 도매업</t>
  </si>
  <si>
    <t>Wholesale of Leather and Fur Products</t>
  </si>
  <si>
    <t>46417</t>
  </si>
  <si>
    <t>의복액세서리 및 모조장신품 도매업</t>
  </si>
  <si>
    <t>Wholesale of Wear Accessaries and Imitative Ornamental Articles</t>
  </si>
  <si>
    <t>46419</t>
  </si>
  <si>
    <t>기타 가정용 섬유 및 직물제품 도매업</t>
  </si>
  <si>
    <t>Wholesale of household Textiles and Make-Up Textile Articles</t>
  </si>
  <si>
    <t>4642</t>
  </si>
  <si>
    <t>신발 도매업</t>
  </si>
  <si>
    <t>Wholesale of Footwear</t>
  </si>
  <si>
    <t>46420</t>
  </si>
  <si>
    <t>4643</t>
  </si>
  <si>
    <t>조명기구, 가정용 가구 및 비전기식 가정용기기 도매업</t>
  </si>
  <si>
    <t>Wholesale of Lighting Equipment, Household Furniture, Non-electric Appliance</t>
  </si>
  <si>
    <t>46431</t>
  </si>
  <si>
    <t>가정용 가구 도매업</t>
  </si>
  <si>
    <t>Wholesale of Household Furniture</t>
  </si>
  <si>
    <t>46432</t>
  </si>
  <si>
    <t>전구·램프 및 조명장치 도매업</t>
  </si>
  <si>
    <t>Wholesale of Electric Lamps and Lighting Equipment</t>
  </si>
  <si>
    <t>46433</t>
  </si>
  <si>
    <t>가정용 요업제품, 비전기식 주방용품 및 날붙이 도매업</t>
  </si>
  <si>
    <t>Wholesale of Household Ceramics, Non-electric Kitchen Utensils and Wooden Ware</t>
  </si>
  <si>
    <t>46439</t>
  </si>
  <si>
    <t>기타 비전기식 가정용 기기 및 기구 도매업</t>
  </si>
  <si>
    <t>Wholesale of Other Household Non-electric Appliances</t>
  </si>
  <si>
    <t>4644</t>
  </si>
  <si>
    <t>의약품, 의료용품 및 화장품 도매업</t>
  </si>
  <si>
    <t>Wholesale of Pharmaceutical and Medical Goods, Cosmetics</t>
  </si>
  <si>
    <t>46441</t>
  </si>
  <si>
    <t>의약품 도매업</t>
  </si>
  <si>
    <t>Wholesale of Pharmaceuticals</t>
  </si>
  <si>
    <t>46442</t>
  </si>
  <si>
    <t>의료용품 도매업</t>
  </si>
  <si>
    <t>Wholesale of Medical Goods</t>
  </si>
  <si>
    <t>46443</t>
  </si>
  <si>
    <t>화장품 도매업</t>
  </si>
  <si>
    <t>Wholesale of Cosmetics</t>
  </si>
  <si>
    <t>46444</t>
  </si>
  <si>
    <t>비누 및 세정제 도매업</t>
  </si>
  <si>
    <t>Wholesale of Soap and Detergents</t>
  </si>
  <si>
    <t>4645</t>
  </si>
  <si>
    <t>종이, 인쇄물 및 문구용품 도매업</t>
  </si>
  <si>
    <t>Wholesale of Paper Products, Printed Matters and Stationary</t>
  </si>
  <si>
    <t>46451</t>
  </si>
  <si>
    <t>종이제품 도매업</t>
  </si>
  <si>
    <t>Wholesale of Paper Products</t>
  </si>
  <si>
    <t>46452</t>
  </si>
  <si>
    <t>문구용품 도매업</t>
  </si>
  <si>
    <t>Wholesale of Stationery</t>
  </si>
  <si>
    <t>46453</t>
  </si>
  <si>
    <t>서적, 잡지 및 신문 도매업</t>
  </si>
  <si>
    <t>Wholesale of Books, Magazines and Newspapers</t>
  </si>
  <si>
    <t>4646</t>
  </si>
  <si>
    <t>오락, 취미 및 경기용품 도매업</t>
  </si>
  <si>
    <t>Wholesale of Game, Hobby and Athletic Goods</t>
  </si>
  <si>
    <t>46461</t>
  </si>
  <si>
    <t>음반 및 비디오물 도매업</t>
  </si>
  <si>
    <t>Wholesale of Musical Records and Videotapes</t>
  </si>
  <si>
    <t>46462</t>
  </si>
  <si>
    <t>악기 도매업</t>
  </si>
  <si>
    <t>Wholesale of Musical Instruments</t>
  </si>
  <si>
    <t>46463</t>
  </si>
  <si>
    <t>장난감 및 취미용품 도매업</t>
  </si>
  <si>
    <t>Wholesale of Toys and Hobby Goods</t>
  </si>
  <si>
    <t>46464</t>
  </si>
  <si>
    <t>운동 및 경기용품 도매업</t>
  </si>
  <si>
    <t>Wholesale of Sports and Athletic Goods</t>
  </si>
  <si>
    <t>46465</t>
  </si>
  <si>
    <t>자전거 및 기타 운송장비 도매업</t>
  </si>
  <si>
    <t>Wholesale of Bicycles and Other Transportable Equipment</t>
  </si>
  <si>
    <t>4649</t>
  </si>
  <si>
    <t>기타 가정용품 도매업</t>
  </si>
  <si>
    <t>Wholesale of Other Household Appliances</t>
  </si>
  <si>
    <t>46491</t>
  </si>
  <si>
    <t>가방 및 여행용품 도매업</t>
  </si>
  <si>
    <t>Wholesale of Luggage and Travel Related Accessories</t>
  </si>
  <si>
    <t>46492</t>
  </si>
  <si>
    <t>시계 및 귀금속제품 도매업</t>
  </si>
  <si>
    <t>Wholesale of Watches and Jewellery</t>
  </si>
  <si>
    <t>46493</t>
  </si>
  <si>
    <t>사진장비 및 광학용품 도매업</t>
  </si>
  <si>
    <t>Wholesale of Photographic and Optical Goods</t>
  </si>
  <si>
    <t>46499</t>
  </si>
  <si>
    <t>그외 기타 가정용품 도매업</t>
  </si>
  <si>
    <t>Wholesale of Other Household Appliances n.e.c.</t>
  </si>
  <si>
    <t>465</t>
  </si>
  <si>
    <t>기계장비 및 관련 물품 도매업</t>
  </si>
  <si>
    <t>Wholesale of Machinery Equipment and Supplies</t>
  </si>
  <si>
    <t>4651</t>
  </si>
  <si>
    <t>컴퓨터 및 주변장치, 소프트웨어 도매업</t>
  </si>
  <si>
    <t>Wholesale of Computers, Computer Peripheral Equipment and Software</t>
  </si>
  <si>
    <t>46510</t>
  </si>
  <si>
    <t>4652</t>
  </si>
  <si>
    <t>가전제품, 통신장비 및 부품 도매업</t>
  </si>
  <si>
    <t>Wholesale of Household Electric Appliances and Telecommunications Equipment and Parts</t>
  </si>
  <si>
    <t>46521</t>
  </si>
  <si>
    <t>가전제품 및 부품 도매업</t>
  </si>
  <si>
    <t>Wholesale of Household Electric Appliances and Parts</t>
  </si>
  <si>
    <t>46522</t>
  </si>
  <si>
    <t>통신장비 및 부품 도매업</t>
  </si>
  <si>
    <t>Wholesale of Telecommunications Equipment and Parts</t>
  </si>
  <si>
    <t>4653</t>
  </si>
  <si>
    <t>산업용 기계 및 장비 도매업</t>
  </si>
  <si>
    <t>Wholesale of Industrial Machinery and Equipment</t>
  </si>
  <si>
    <t>46531</t>
  </si>
  <si>
    <t>농업용 기계 및 장비 도매업</t>
  </si>
  <si>
    <t>Wholesale of Agricultural Machinery and Equipment</t>
  </si>
  <si>
    <t>46532</t>
  </si>
  <si>
    <t>건설·광업용 기계 및 장비 도매업</t>
  </si>
  <si>
    <t>Wholesale of Construction and Mining Machinery and Equipment</t>
  </si>
  <si>
    <t>46533</t>
  </si>
  <si>
    <t>공작기계 도매업</t>
  </si>
  <si>
    <t>Wholesale of Machine-Tools</t>
  </si>
  <si>
    <t>46539</t>
  </si>
  <si>
    <t>기타 산업용 기계 및 장비 도매업</t>
  </si>
  <si>
    <t>Wholesale of Other Industrial Machinery and Equipment</t>
  </si>
  <si>
    <t>4659</t>
  </si>
  <si>
    <t>기타 기계 및 장비 도매업</t>
  </si>
  <si>
    <t>Wholesale of Other Machinery and Equipment</t>
  </si>
  <si>
    <t>46591</t>
  </si>
  <si>
    <t>사무용 가구 및 기기 도매업</t>
  </si>
  <si>
    <t>Wholesale of Office Appliances</t>
  </si>
  <si>
    <t>46592</t>
  </si>
  <si>
    <t>의료, 정밀 및 과학기기 도매업</t>
  </si>
  <si>
    <t>Wholesale of Medical, Precision and Scientific Instruments and Equipment</t>
  </si>
  <si>
    <t>46593</t>
  </si>
  <si>
    <t>수송용 기계 및 장비 도매업</t>
  </si>
  <si>
    <t>Wholesale of Transportation Equipment</t>
  </si>
  <si>
    <t>46594</t>
  </si>
  <si>
    <t>전기용 기계장비 및 관련 기자재 도매업</t>
  </si>
  <si>
    <t>Wholesale of Electrical Machinery and Related Materials</t>
  </si>
  <si>
    <t>46599</t>
  </si>
  <si>
    <t>그외 기타 기계 및 장비 도매업</t>
  </si>
  <si>
    <t>Wholesale of Other Machinery and Equipment n.e.c.</t>
  </si>
  <si>
    <t>466</t>
  </si>
  <si>
    <t>건축자재, 철물 및 난방장치 도매업</t>
  </si>
  <si>
    <t>Wholesale of Construction Materials, Hardware and Heating and Air Conditioning Equipment</t>
  </si>
  <si>
    <t>4661</t>
  </si>
  <si>
    <t>일반 건축자재 도매업</t>
  </si>
  <si>
    <t>Wholesale of Construction Materials</t>
  </si>
  <si>
    <t>46611</t>
  </si>
  <si>
    <t>원목 및 건축관련 목재품 도매업</t>
  </si>
  <si>
    <t>Wholesale of Wood and Builders' Joinery Wood</t>
  </si>
  <si>
    <t>46612</t>
  </si>
  <si>
    <t>골재, 벽돌 및 시멘트 도매업</t>
  </si>
  <si>
    <t>Wholesale of Gravel, Bricks and Cement</t>
  </si>
  <si>
    <t>46613</t>
  </si>
  <si>
    <t>유리 및 창호 도매업</t>
  </si>
  <si>
    <t>Wholesale of Glass and Doors</t>
  </si>
  <si>
    <t>4662</t>
  </si>
  <si>
    <t>철물 및 냉·난방장치 도매업</t>
  </si>
  <si>
    <t>Wholesale of Hardware, Heating and Air Conditioning Equipment</t>
  </si>
  <si>
    <t>46621</t>
  </si>
  <si>
    <t>배관 및 냉·난방장치 도매업</t>
  </si>
  <si>
    <t>Wholesale of Plumbing, Heating and Air Conditioning Equipment</t>
  </si>
  <si>
    <t>46622</t>
  </si>
  <si>
    <t>철물 및 수공구 도매업</t>
  </si>
  <si>
    <t>Wholesale of Hardware and Handtools</t>
  </si>
  <si>
    <t>4669</t>
  </si>
  <si>
    <t>기타 건축자재 도매업</t>
  </si>
  <si>
    <t>Wholesale of Other Construction Materials</t>
  </si>
  <si>
    <t>46691</t>
  </si>
  <si>
    <t>도료 도매업</t>
  </si>
  <si>
    <t>Wholesale of Paints</t>
  </si>
  <si>
    <t>46692</t>
  </si>
  <si>
    <t>벽지 및 장판류 도매업</t>
  </si>
  <si>
    <t>Wholesale of Wallpaper and Floor Coverings</t>
  </si>
  <si>
    <t>46699</t>
  </si>
  <si>
    <t>그외 기타 건축자재 도매업</t>
  </si>
  <si>
    <t>Wholesale of Other Construction Materials n.e.c.</t>
  </si>
  <si>
    <t>467</t>
  </si>
  <si>
    <t>기타 전문 도매업</t>
  </si>
  <si>
    <t>Other Specialized Wholesale</t>
  </si>
  <si>
    <t>4671</t>
  </si>
  <si>
    <t>연료 및 관련제품 도매업</t>
  </si>
  <si>
    <t>Wholesale of Solid, Liquid and Gaseous Fuel and Related Products</t>
  </si>
  <si>
    <t>46711</t>
  </si>
  <si>
    <t>고체연료 및 관련제품 도매업</t>
  </si>
  <si>
    <t>Wholesale of Solid Fuel and Related Products</t>
  </si>
  <si>
    <t>46712</t>
  </si>
  <si>
    <t>액체연료 및 관련제품 도매업</t>
  </si>
  <si>
    <t>Wholesale of Liquid Fuel and Related Products</t>
  </si>
  <si>
    <t>46713</t>
  </si>
  <si>
    <t>기체연료 및 관련제품 도매업</t>
  </si>
  <si>
    <t>Wholesale of Gaseous Fuel and Related Products</t>
  </si>
  <si>
    <t>4672</t>
  </si>
  <si>
    <t>1차 금속제품 및 금속광물 도매업</t>
  </si>
  <si>
    <t>Wholesale of Basic Metals and Metal Ores</t>
  </si>
  <si>
    <t>46721</t>
  </si>
  <si>
    <t>1차 금속제품 도매업</t>
  </si>
  <si>
    <t>Wholesale of Basic Metals</t>
  </si>
  <si>
    <t>46722</t>
  </si>
  <si>
    <t>금속광물 도매업</t>
  </si>
  <si>
    <t>Wholesale of Metal Ores</t>
  </si>
  <si>
    <t>4673</t>
  </si>
  <si>
    <t>화학물질 및 화학제품 도매업</t>
  </si>
  <si>
    <t>Wholesale of Chemical Materials and Chemical Products</t>
  </si>
  <si>
    <t>46731</t>
  </si>
  <si>
    <t>염료, 안료 및 관련제품 도매업</t>
  </si>
  <si>
    <t>Wholesale of Dyes, Pigments and Related Products</t>
  </si>
  <si>
    <t>46732</t>
  </si>
  <si>
    <t>비료 및 농약 도매업</t>
  </si>
  <si>
    <t>Wholesale of Fertilizers and Agricultural Chemicals</t>
  </si>
  <si>
    <t>46733</t>
  </si>
  <si>
    <t>합성고무 및 플라스틱물질 도매업</t>
  </si>
  <si>
    <t>Wholesale of Synthetic Rubber and Plastics Materials</t>
  </si>
  <si>
    <t>46739</t>
  </si>
  <si>
    <t>기타 화학물질 및 화학제품 도매업</t>
  </si>
  <si>
    <t>Wholesale of Other Chemical Materials and Chemical Products</t>
  </si>
  <si>
    <t>4674</t>
  </si>
  <si>
    <t>방직용 섬유, 사 및 직물 도매업</t>
  </si>
  <si>
    <t>Wholesale of Spun Fibers, Yarns and Textiles</t>
  </si>
  <si>
    <t>46741</t>
  </si>
  <si>
    <t>방직용 섬유 및 사 도매업</t>
  </si>
  <si>
    <t>Wholesale of Spun Fibers and Yarns</t>
  </si>
  <si>
    <t>46742</t>
  </si>
  <si>
    <t>직물 도매업</t>
  </si>
  <si>
    <t>Wholesale of Textiles</t>
  </si>
  <si>
    <t>4679</t>
  </si>
  <si>
    <t>재생용 재료 및 기타 상품 전문 도매업</t>
  </si>
  <si>
    <t>Wholesale of Materials for Recycling and Other Specialized Goods</t>
  </si>
  <si>
    <t>46791</t>
  </si>
  <si>
    <t>재생용 재료 수집 및 판매업</t>
  </si>
  <si>
    <t>Collection and Wholesale of Recycling Materials</t>
  </si>
  <si>
    <t>46799</t>
  </si>
  <si>
    <t>그외 기타 상품 전문 도매업</t>
  </si>
  <si>
    <t>Wholesale of Materials for Recycling and Other Specialized Goods n.e.c.</t>
  </si>
  <si>
    <t>468</t>
  </si>
  <si>
    <t>상품 종합 도매업</t>
  </si>
  <si>
    <t>Wholesale of Non-Specialized Goods</t>
  </si>
  <si>
    <t>4680</t>
  </si>
  <si>
    <t>46800</t>
  </si>
  <si>
    <t>47</t>
  </si>
  <si>
    <t>소매업; 자동차 제외</t>
  </si>
  <si>
    <t>Retail Trade, Except Motor Vehicles and Motorcycles</t>
  </si>
  <si>
    <t>471</t>
  </si>
  <si>
    <t>종합 소매업</t>
  </si>
  <si>
    <t>Retail Sale in Non-Specialized Stores</t>
  </si>
  <si>
    <t>4711</t>
  </si>
  <si>
    <t>대형 종합 소매업</t>
  </si>
  <si>
    <t>Retail Sale in Non-Specialized Large Stores</t>
  </si>
  <si>
    <t>47111</t>
  </si>
  <si>
    <t>백화점</t>
  </si>
  <si>
    <t>Department Stores</t>
  </si>
  <si>
    <t>47119</t>
  </si>
  <si>
    <t>기타 대형 종합 소매업</t>
  </si>
  <si>
    <t>Retail Sale in Other Non-Specialized Large Stores</t>
  </si>
  <si>
    <t>4712</t>
  </si>
  <si>
    <t>음·식료품 위주 종합 소매업</t>
  </si>
  <si>
    <t>Retail Sale in Non-Specialized Stores with Food or Beverages Predominating</t>
  </si>
  <si>
    <t>47121</t>
  </si>
  <si>
    <t>슈퍼마켓</t>
  </si>
  <si>
    <t>Supermarkets</t>
  </si>
  <si>
    <t>47122</t>
  </si>
  <si>
    <t>체인화 편의점</t>
  </si>
  <si>
    <t>Convenience Stores</t>
  </si>
  <si>
    <t>47129</t>
  </si>
  <si>
    <t>기타 음·식료품 위주 종합 소매업</t>
  </si>
  <si>
    <t>Retail Sale in Other Non-Specialized Stores with Food or Beverages Predominating</t>
  </si>
  <si>
    <t>4719</t>
  </si>
  <si>
    <t>그외 기타 종합 소매업</t>
  </si>
  <si>
    <t>Other Retail Sale in Non-specialized stores</t>
  </si>
  <si>
    <t>47190</t>
  </si>
  <si>
    <t>472</t>
  </si>
  <si>
    <t>음·식료품 및 담배 소매업</t>
  </si>
  <si>
    <t>Retail Sale of Foods, Beverages and Tobacco in Specialized Stores</t>
  </si>
  <si>
    <t>4721</t>
  </si>
  <si>
    <t>식료품 소매업</t>
  </si>
  <si>
    <t>Retail Sale of Food</t>
  </si>
  <si>
    <t>47211</t>
  </si>
  <si>
    <t>곡물 소매업</t>
  </si>
  <si>
    <t>Retail Sale of Grains</t>
  </si>
  <si>
    <t>47212</t>
  </si>
  <si>
    <t>육류 소매업</t>
  </si>
  <si>
    <t>Retail Sale of Meat</t>
  </si>
  <si>
    <t>47213</t>
  </si>
  <si>
    <t>수산물 소매업</t>
  </si>
  <si>
    <t>Retail Sale of Fish and Marine Products</t>
  </si>
  <si>
    <t>47214</t>
  </si>
  <si>
    <t>과실 및 채소 소매업</t>
  </si>
  <si>
    <t>Retail Sale of Fruit and Vegetables</t>
  </si>
  <si>
    <t>47215</t>
  </si>
  <si>
    <t>빵 및 과자류 소매업</t>
  </si>
  <si>
    <t>Retail Sale of Sugar, Bread and Confectionery</t>
  </si>
  <si>
    <t>47216</t>
  </si>
  <si>
    <t>건강보조식품 소매업</t>
  </si>
  <si>
    <t>Retail Sale of Prepared Health Additive Food</t>
  </si>
  <si>
    <t>47219</t>
  </si>
  <si>
    <t>기타 식료품 소매업</t>
  </si>
  <si>
    <t>Retail Sale of Other Food</t>
  </si>
  <si>
    <t>4722</t>
  </si>
  <si>
    <t>음료 및 담배 소매업</t>
  </si>
  <si>
    <t>Retail Sale of Beverages and Tobacco</t>
  </si>
  <si>
    <t>47221</t>
  </si>
  <si>
    <t>음료 소매업</t>
  </si>
  <si>
    <t>Retail Sale of Beverages</t>
  </si>
  <si>
    <t>47222</t>
  </si>
  <si>
    <t>담배 소매업</t>
  </si>
  <si>
    <t>Retail Sale of Tobacco</t>
  </si>
  <si>
    <t>473</t>
  </si>
  <si>
    <t>정보통신장비 소매업</t>
  </si>
  <si>
    <t>Retail Sale of Information and Communications Equipment</t>
  </si>
  <si>
    <t>4731</t>
  </si>
  <si>
    <t>컴퓨터 및 주변장치, 소프트웨어 및 통신기기 소매업</t>
  </si>
  <si>
    <t>Retail Sale of Computers, Computer Peripheral Equipment, Software and Communication Equipment</t>
  </si>
  <si>
    <t>47311</t>
  </si>
  <si>
    <t>컴퓨터 및 주변장치, 소프트웨어 소매업</t>
  </si>
  <si>
    <t>Retail Sale of Computers, Computer Peripheral Equipment and Software</t>
  </si>
  <si>
    <t>47312</t>
  </si>
  <si>
    <t>통신기기 소매업</t>
  </si>
  <si>
    <t>Retail Sale of Communication Equipment</t>
  </si>
  <si>
    <t>4732</t>
  </si>
  <si>
    <t>가전제품 소매업</t>
  </si>
  <si>
    <t>Retail Sale of Electrical Household Appliances</t>
  </si>
  <si>
    <t>47320</t>
  </si>
  <si>
    <t>474</t>
  </si>
  <si>
    <t>섬유, 의복, 신발 및 가죽제품 소매업</t>
  </si>
  <si>
    <t>Retail Sale of Textiles, Clothing, Footwear and Leather Goods</t>
  </si>
  <si>
    <t>4741</t>
  </si>
  <si>
    <t>섬유, 직물, 의복 및 의복액세서리 소매업</t>
  </si>
  <si>
    <t>Retail Sale of Threads and Textile Articles, Clothing and Clothing Accessories</t>
  </si>
  <si>
    <t>47411</t>
  </si>
  <si>
    <t>가정용 직물제품 소매업</t>
  </si>
  <si>
    <t>Retail Sale of Textile Articles</t>
  </si>
  <si>
    <t>47412</t>
  </si>
  <si>
    <t>한복 소매업</t>
  </si>
  <si>
    <t>Retail Sale of Korean Traditional Clothing</t>
  </si>
  <si>
    <t>47413</t>
  </si>
  <si>
    <t>남녀용 정장 소매업</t>
  </si>
  <si>
    <t>Retail Sale of Suits</t>
  </si>
  <si>
    <t>47414</t>
  </si>
  <si>
    <t>유아용 의류 소매업</t>
  </si>
  <si>
    <t>Retail Sale of Infant Garments</t>
  </si>
  <si>
    <t>47415</t>
  </si>
  <si>
    <t>내의 소매업</t>
  </si>
  <si>
    <t>Retail Sale of Underwear</t>
  </si>
  <si>
    <t>47416</t>
  </si>
  <si>
    <t>셔츠 및 기타 의복 소매업</t>
  </si>
  <si>
    <t>Retail Sale of Shirts and Other Clothing</t>
  </si>
  <si>
    <t>47419</t>
  </si>
  <si>
    <t>기타 섬유, 직물 및 의복액세서리 소매업</t>
  </si>
  <si>
    <t>Retail Sale of Other Threads, Textiles, Clothing Accessories</t>
  </si>
  <si>
    <t>4742</t>
  </si>
  <si>
    <t>신발 소매업</t>
  </si>
  <si>
    <t>Retail Sale of Footwear</t>
  </si>
  <si>
    <t>47420</t>
  </si>
  <si>
    <t>Retail Sale of Shoes</t>
  </si>
  <si>
    <t>4743</t>
  </si>
  <si>
    <t>가방 및 기타 가죽제품 소매업</t>
  </si>
  <si>
    <t>Retail Sale of Luggage and Other Leather Products</t>
  </si>
  <si>
    <t>47430</t>
  </si>
  <si>
    <t>475</t>
  </si>
  <si>
    <t>기타 가정용품 소매업</t>
  </si>
  <si>
    <t>Retail Sale of Other Household Equipment</t>
  </si>
  <si>
    <t>4751</t>
  </si>
  <si>
    <t>철물, 페인트, 유리 및 건설자재 소매업</t>
  </si>
  <si>
    <t>Retail Sale of Hardware, Paints, Glass and Construction Materials</t>
  </si>
  <si>
    <t>47511</t>
  </si>
  <si>
    <t>철물 및 난방용구 소매업</t>
  </si>
  <si>
    <t>Retail Sale of Hardware and Heating Equipment</t>
  </si>
  <si>
    <t>47512</t>
  </si>
  <si>
    <t>기계공구 소매업</t>
  </si>
  <si>
    <t>Retail Sale of Machinery and Related Equipment</t>
  </si>
  <si>
    <t>47513</t>
  </si>
  <si>
    <t>벽지 및 장판류 소매업</t>
  </si>
  <si>
    <t>Retail Sale of Wallpaper and Floor Coverings</t>
  </si>
  <si>
    <t>47519</t>
  </si>
  <si>
    <t>페인트, 유리 및 기타 건설자재 소매업</t>
  </si>
  <si>
    <t>Retail Sale of Paints, Glass and Other Construction Materials</t>
  </si>
  <si>
    <t>4752</t>
  </si>
  <si>
    <t>가구 소매업</t>
  </si>
  <si>
    <t>Retail Sale of Furniture</t>
  </si>
  <si>
    <t>47520</t>
  </si>
  <si>
    <t>4759</t>
  </si>
  <si>
    <t>그외 기타 가정용품 소매업</t>
  </si>
  <si>
    <t>Retail Sale of Other Household Equipment n.e.c.</t>
  </si>
  <si>
    <t>47591</t>
  </si>
  <si>
    <t>전기용품 및 조명장치 소매업</t>
  </si>
  <si>
    <t>Retail Sale of Electric Goods and Lighting Articles</t>
  </si>
  <si>
    <t>47592</t>
  </si>
  <si>
    <t>식탁 및 주방용품 소매업</t>
  </si>
  <si>
    <t>Retail Sale of Kitchenware and Table ware</t>
  </si>
  <si>
    <t>47593</t>
  </si>
  <si>
    <t>악기 소매업</t>
  </si>
  <si>
    <t>Retail Sale of Musical Instruments</t>
  </si>
  <si>
    <t>47599</t>
  </si>
  <si>
    <t>그외 기타 분류안된 가정용품 소매업</t>
  </si>
  <si>
    <t>Retail Sale of Other Household Appliances n.e.c.</t>
  </si>
  <si>
    <t>476</t>
  </si>
  <si>
    <t>문화, 오락 및 여가 용품 소매업</t>
  </si>
  <si>
    <t>Retail Sale of Cultural, Entertainment and Recreation Goods</t>
  </si>
  <si>
    <t>4761</t>
  </si>
  <si>
    <t>서적 및 문구용품 소매업</t>
  </si>
  <si>
    <t>Retail Sale of Books and Stationery</t>
  </si>
  <si>
    <t>47611</t>
  </si>
  <si>
    <t>서적 및 잡지류 소매업</t>
  </si>
  <si>
    <t>Retail Sale of Books and Magazines</t>
  </si>
  <si>
    <t>47612</t>
  </si>
  <si>
    <t>문구용품 소매업</t>
  </si>
  <si>
    <t>Retail Sale of Stationery</t>
  </si>
  <si>
    <t>4762</t>
  </si>
  <si>
    <t>음반 및 비디오물 소매업</t>
  </si>
  <si>
    <t>Retail Sale of Musical Records and Videos</t>
  </si>
  <si>
    <t>47620</t>
  </si>
  <si>
    <t>4763</t>
  </si>
  <si>
    <t>스포츠용품 소매업</t>
  </si>
  <si>
    <t>Retail Sale of Sporting Equipment</t>
  </si>
  <si>
    <t>47631</t>
  </si>
  <si>
    <t>운동 및 경기용품 소매업</t>
  </si>
  <si>
    <t>Retail Sale of Sports and Athletic Goods</t>
  </si>
  <si>
    <t>47632</t>
  </si>
  <si>
    <t>자전거 및 기타 운송장비 소매업</t>
  </si>
  <si>
    <t>Retail Sale of Bicycles and Other Transportable Equipment</t>
  </si>
  <si>
    <t>4764</t>
  </si>
  <si>
    <t>게임용구, 인형 및 장난감 소매업</t>
  </si>
  <si>
    <t>Retail Sale of Games, Dolls and Toys</t>
  </si>
  <si>
    <t>47640</t>
  </si>
  <si>
    <t>477</t>
  </si>
  <si>
    <t>연료 소매업</t>
  </si>
  <si>
    <t>Retail Sale of Fuel</t>
  </si>
  <si>
    <t>4771</t>
  </si>
  <si>
    <t>차량용 연료 소매업</t>
  </si>
  <si>
    <t>Retail Sale of Automotive Fuel</t>
  </si>
  <si>
    <t>47711</t>
  </si>
  <si>
    <t>차량용 주유소 운영업</t>
  </si>
  <si>
    <t>Automotive Oil Stations</t>
  </si>
  <si>
    <t>47712</t>
  </si>
  <si>
    <t>차량용 가스 충전업</t>
  </si>
  <si>
    <t>Automotive Gas Stations</t>
  </si>
  <si>
    <t>4772</t>
  </si>
  <si>
    <t>가정용 연료 소매업</t>
  </si>
  <si>
    <t>Retail Sale of Household Fuel</t>
  </si>
  <si>
    <t>47721</t>
  </si>
  <si>
    <t>가정용 고체연료 소매업</t>
  </si>
  <si>
    <t>Retail Sale of Household Solid Fuel</t>
  </si>
  <si>
    <t>47722</t>
  </si>
  <si>
    <t>가정용 액체연료 소매업</t>
  </si>
  <si>
    <t>Retail Sale of Household Liquid Fuel</t>
  </si>
  <si>
    <t>47723</t>
  </si>
  <si>
    <t>가정용 가스연료 소매업</t>
  </si>
  <si>
    <t>Retail Sale of Household Gaseous Fuel</t>
  </si>
  <si>
    <t>478</t>
  </si>
  <si>
    <t>기타 상품 전문 소매업</t>
  </si>
  <si>
    <t>Retail Sale in Other Specialized Stores</t>
  </si>
  <si>
    <t>4781</t>
  </si>
  <si>
    <t>의약품, 의료용 기구, 화장품 및 방향제 소매업</t>
  </si>
  <si>
    <t>Retail Sale of Pharmaceuticals, Medical Equipment, Cosmetics and Perfumery</t>
  </si>
  <si>
    <t>47811</t>
  </si>
  <si>
    <t>의약품 및 의료용품 소매업</t>
  </si>
  <si>
    <t>Retail Sale of Pharmaceutical and Medical Goods</t>
  </si>
  <si>
    <t>47812</t>
  </si>
  <si>
    <t>의료용 기구 소매업</t>
  </si>
  <si>
    <t>Retail Sale of Medical Equipment</t>
  </si>
  <si>
    <t>47813</t>
  </si>
  <si>
    <t>화장품 및 방향제 소매업</t>
  </si>
  <si>
    <t>Retail Sale of Cosmetics and Perfumery</t>
  </si>
  <si>
    <t>4782</t>
  </si>
  <si>
    <t>사무용 기기, 사진장비 및 정밀기기 소매업</t>
  </si>
  <si>
    <t>Retail Sale of Office Appliances, Photographic and Precision Equipment</t>
  </si>
  <si>
    <t>47821</t>
  </si>
  <si>
    <t>사무용 기기 소매업</t>
  </si>
  <si>
    <t>Retail Sale of Office Appliances</t>
  </si>
  <si>
    <t>47822</t>
  </si>
  <si>
    <t>안경 소매업</t>
  </si>
  <si>
    <t>Retail Sale of Spectacles</t>
  </si>
  <si>
    <t>47823</t>
  </si>
  <si>
    <t>사진기 및 사진용품 소매업</t>
  </si>
  <si>
    <t>Retail Sale of Photographic Equipment and Goods</t>
  </si>
  <si>
    <t>47829</t>
  </si>
  <si>
    <t>기타 광학 및 정밀 기기 소매업</t>
  </si>
  <si>
    <t>Retail Sale of Other Optical and Precision Equipment</t>
  </si>
  <si>
    <t>4783</t>
  </si>
  <si>
    <t>시계 및 귀금속 소매업</t>
  </si>
  <si>
    <t>Retail sale of Watches and Jewellery</t>
  </si>
  <si>
    <t>47830</t>
  </si>
  <si>
    <t>4784</t>
  </si>
  <si>
    <t>예술품 및 선물용품 소매업</t>
  </si>
  <si>
    <t>Retail Sale of Arts Works and Gifts</t>
  </si>
  <si>
    <t>47841</t>
  </si>
  <si>
    <t>예술품 및 골동품 소매업</t>
  </si>
  <si>
    <t>Retail Sale of Arts Works and Antiques</t>
  </si>
  <si>
    <t>47842</t>
  </si>
  <si>
    <t>관광 민예품 및 선물용품 소매업</t>
  </si>
  <si>
    <t>Retail Sale of Gifts, Novelties and Souvenirs</t>
  </si>
  <si>
    <t>4785</t>
  </si>
  <si>
    <t>그외 기타 상품 전문 소매업</t>
  </si>
  <si>
    <t>Other Retail Sale in Specialized Stores n.e.c.</t>
  </si>
  <si>
    <t>47851</t>
  </si>
  <si>
    <t>화초 및 산식물 소매업</t>
  </si>
  <si>
    <t>Retail Sale of Flowers and Plants</t>
  </si>
  <si>
    <t>47852</t>
  </si>
  <si>
    <t>애완용 동물 및 관련용품 소매업</t>
  </si>
  <si>
    <t>Retail Sale of Pets and Pet Supplies</t>
  </si>
  <si>
    <t>47859</t>
  </si>
  <si>
    <t>그외 기타 분류안된 상품 전문 소매업</t>
  </si>
  <si>
    <t>All Other Retail Sale in Specialized Stores n.e.c.</t>
  </si>
  <si>
    <t>4786</t>
  </si>
  <si>
    <t>중고상품 소매업</t>
  </si>
  <si>
    <t>Retail Sale of Used Goods</t>
  </si>
  <si>
    <t>47861</t>
  </si>
  <si>
    <t>중고가구 소매업</t>
  </si>
  <si>
    <t>Retail Sale of Used Furniture</t>
  </si>
  <si>
    <t>47862</t>
  </si>
  <si>
    <t>중고 가전제품 소매업</t>
  </si>
  <si>
    <t>Retail Sale of Used Electrical Household Appliances</t>
  </si>
  <si>
    <t>47869</t>
  </si>
  <si>
    <t>기타 중고상품 소매업</t>
  </si>
  <si>
    <t>Retail Sale of Other Used Goods</t>
  </si>
  <si>
    <t>479</t>
  </si>
  <si>
    <t>무점포 소매업</t>
  </si>
  <si>
    <t>Retail Sale not in Stores</t>
  </si>
  <si>
    <t>4791</t>
  </si>
  <si>
    <t>통신 판매업</t>
  </si>
  <si>
    <t>Retail Sale Via Mail Order Houses</t>
  </si>
  <si>
    <t>47911</t>
  </si>
  <si>
    <t>전자상거래업</t>
  </si>
  <si>
    <t>Electronic Commerce Via Internet</t>
  </si>
  <si>
    <t>47919</t>
  </si>
  <si>
    <t>기타 통신 판매업</t>
  </si>
  <si>
    <t>Other Retail Sale Via Mail Order Houses</t>
  </si>
  <si>
    <t>4792</t>
  </si>
  <si>
    <t>노점 및 유사이동 소매업</t>
  </si>
  <si>
    <t>Sale Via Stalls and Markets</t>
  </si>
  <si>
    <t>47920</t>
  </si>
  <si>
    <t>4799</t>
  </si>
  <si>
    <t>기타 무점포 소매업</t>
  </si>
  <si>
    <t>Other Non-Store Retail Sale</t>
  </si>
  <si>
    <t>47991</t>
  </si>
  <si>
    <t>자동판매기 운영업</t>
  </si>
  <si>
    <t>Vending Machine Operation</t>
  </si>
  <si>
    <t>47992</t>
  </si>
  <si>
    <t>계약배달 판매업</t>
  </si>
  <si>
    <t>Retail Sale of Contract-Delivery</t>
  </si>
  <si>
    <t>47993</t>
  </si>
  <si>
    <t>방문 판매업</t>
  </si>
  <si>
    <t>Door to Door Retailing of Merchandise</t>
  </si>
  <si>
    <t>47999</t>
  </si>
  <si>
    <t>그외 기타 무점포 소매업</t>
  </si>
  <si>
    <t>All Other Non-Store Retail Sale n.e.c.</t>
  </si>
  <si>
    <t>49</t>
  </si>
  <si>
    <t>육상운송 및 파이프라인 운송업</t>
  </si>
  <si>
    <t>Land Transport ; Transport Via Pipelines</t>
  </si>
  <si>
    <t>491</t>
  </si>
  <si>
    <t>철도운송업</t>
  </si>
  <si>
    <t>Interurban Rail Transportation</t>
  </si>
  <si>
    <t>4910</t>
  </si>
  <si>
    <t>49100</t>
  </si>
  <si>
    <t>492</t>
  </si>
  <si>
    <t>육상 여객 운송업</t>
  </si>
  <si>
    <t>Transit and Ground Passenger Transportation</t>
  </si>
  <si>
    <t>4921</t>
  </si>
  <si>
    <t>도시 정기 육상 여객 운송업</t>
  </si>
  <si>
    <t>Urban Transit Systems</t>
  </si>
  <si>
    <t>49211</t>
  </si>
  <si>
    <t>도시철도 운송업</t>
  </si>
  <si>
    <t>Commuter Rail Systems</t>
  </si>
  <si>
    <t>49212</t>
  </si>
  <si>
    <t>시내버스 운송업</t>
  </si>
  <si>
    <t>Urban Bus Passenger Transport</t>
  </si>
  <si>
    <t>49219</t>
  </si>
  <si>
    <t>기타 도시 정기 육상 여객 운송업</t>
  </si>
  <si>
    <t>Other Scheduled Passenger Land Transport</t>
  </si>
  <si>
    <t>4922</t>
  </si>
  <si>
    <t>시외버스 운송업</t>
  </si>
  <si>
    <t>Interurban Bus Transportation</t>
  </si>
  <si>
    <t>49220</t>
  </si>
  <si>
    <t>4923</t>
  </si>
  <si>
    <t>부정기 여객 육상 운송업</t>
  </si>
  <si>
    <t>Non-Scheduled Passenger Land Transport</t>
  </si>
  <si>
    <t>49231</t>
  </si>
  <si>
    <t>택시 운송업</t>
  </si>
  <si>
    <t>Taxi and Limousine Services</t>
  </si>
  <si>
    <t>49232</t>
  </si>
  <si>
    <t>전세버스 운송업</t>
  </si>
  <si>
    <t>Charter Bus Transport</t>
  </si>
  <si>
    <t>49233</t>
  </si>
  <si>
    <t>장의차량 운영업</t>
  </si>
  <si>
    <t>Hearse Operation</t>
  </si>
  <si>
    <t>49239</t>
  </si>
  <si>
    <t>기타 부정기 여객 육상 운송업</t>
  </si>
  <si>
    <t>Other Non-Scheduled Passenger Land Transport</t>
  </si>
  <si>
    <t>493</t>
  </si>
  <si>
    <t>도로 화물 운송업</t>
  </si>
  <si>
    <t>Road Freight Transport</t>
  </si>
  <si>
    <t>4931</t>
  </si>
  <si>
    <t>화물자동차 운송업</t>
  </si>
  <si>
    <t>Freight Trucking</t>
  </si>
  <si>
    <t>49311</t>
  </si>
  <si>
    <t>일반 화물자동차 운송업</t>
  </si>
  <si>
    <t>General Freight Trucking</t>
  </si>
  <si>
    <t>49312</t>
  </si>
  <si>
    <t>용달 및 개별 화물자동차 운송업</t>
  </si>
  <si>
    <t>Freight Trucking By Small Truck and Self-Management</t>
  </si>
  <si>
    <t>4939</t>
  </si>
  <si>
    <t>기타 도로화물 운송업</t>
  </si>
  <si>
    <t>Other Road Freight Transport</t>
  </si>
  <si>
    <t>49390</t>
  </si>
  <si>
    <t>494</t>
  </si>
  <si>
    <t>소화물 전문 운송업</t>
  </si>
  <si>
    <t>Transport of Parcels</t>
  </si>
  <si>
    <t>4940</t>
  </si>
  <si>
    <t>49401</t>
  </si>
  <si>
    <t>택배업</t>
  </si>
  <si>
    <t>Door to Door Transport</t>
  </si>
  <si>
    <t>49402</t>
  </si>
  <si>
    <t>늘찬 배달업</t>
  </si>
  <si>
    <t>Local Delivery and Messenger Services</t>
  </si>
  <si>
    <t>495</t>
  </si>
  <si>
    <t>파이프라인 운송업</t>
  </si>
  <si>
    <t>Transport Via Pipelines</t>
  </si>
  <si>
    <t>4950</t>
  </si>
  <si>
    <t>49500</t>
  </si>
  <si>
    <t>50</t>
  </si>
  <si>
    <t>수상 운송업</t>
  </si>
  <si>
    <t>Water Transport</t>
  </si>
  <si>
    <t>501</t>
  </si>
  <si>
    <t>해상 운송업</t>
  </si>
  <si>
    <t>Sea and Coastal Water Transport</t>
  </si>
  <si>
    <t>5011</t>
  </si>
  <si>
    <t>외항 운송업</t>
  </si>
  <si>
    <t>Oceangoing Transport</t>
  </si>
  <si>
    <t>50111</t>
  </si>
  <si>
    <t>외항 여객 운송업</t>
  </si>
  <si>
    <t>Oceangoing Foreign Passenger Transport</t>
  </si>
  <si>
    <t>50112</t>
  </si>
  <si>
    <t>외항 화물 운송업</t>
  </si>
  <si>
    <t>Oceangoing Foreign Freight Transport</t>
  </si>
  <si>
    <t>5012</t>
  </si>
  <si>
    <t>내항 운송업</t>
  </si>
  <si>
    <t>Coastwise Transport</t>
  </si>
  <si>
    <t>50121</t>
  </si>
  <si>
    <t>내항 여객 운송업</t>
  </si>
  <si>
    <t>Coastal Water Passenger Transport</t>
  </si>
  <si>
    <t>50122</t>
  </si>
  <si>
    <t>내항 화물 운송업</t>
  </si>
  <si>
    <t>Coastal Water Freight Transport</t>
  </si>
  <si>
    <t>5013</t>
  </si>
  <si>
    <t>기타 해상 운송업</t>
  </si>
  <si>
    <t>Other Sea and Coastal Water Transport</t>
  </si>
  <si>
    <t>50130</t>
  </si>
  <si>
    <t>502</t>
  </si>
  <si>
    <t>내륙 수상 및 항만내 운송업</t>
  </si>
  <si>
    <t>Inland Water and Harbour Passenger Transport</t>
  </si>
  <si>
    <t>5020</t>
  </si>
  <si>
    <t>50201</t>
  </si>
  <si>
    <t>내륙 수상 여객 운송업</t>
  </si>
  <si>
    <t>Inland Water Passenger Transport</t>
  </si>
  <si>
    <t>50202</t>
  </si>
  <si>
    <t>내륙 수상 화물 운송업</t>
  </si>
  <si>
    <t>Inland Water Freight Transport</t>
  </si>
  <si>
    <t>50203</t>
  </si>
  <si>
    <t>항만내 운송업</t>
  </si>
  <si>
    <t>Harbour Passenger Transport</t>
  </si>
  <si>
    <t>50209</t>
  </si>
  <si>
    <t>기타 내륙 수상 및 항만내 운송업</t>
  </si>
  <si>
    <t>Other Inland Water and Harbour Passenger Transport</t>
  </si>
  <si>
    <t>51</t>
  </si>
  <si>
    <t>항공 운송업</t>
  </si>
  <si>
    <t>Air Transport</t>
  </si>
  <si>
    <t>511</t>
  </si>
  <si>
    <t>정기 항공 운송업</t>
  </si>
  <si>
    <t>Scheduled Air Transport</t>
  </si>
  <si>
    <t>5110</t>
  </si>
  <si>
    <t>51100</t>
  </si>
  <si>
    <t>512</t>
  </si>
  <si>
    <t>부정기 항공 운송업</t>
  </si>
  <si>
    <t>Non-Scheduled Air Transport</t>
  </si>
  <si>
    <t>5120</t>
  </si>
  <si>
    <t>51200</t>
  </si>
  <si>
    <t>52</t>
  </si>
  <si>
    <t>창고 및 운송관련 서비스업</t>
  </si>
  <si>
    <t>Storage and support activities for transportation</t>
  </si>
  <si>
    <t>521</t>
  </si>
  <si>
    <t>보관 및 창고업</t>
  </si>
  <si>
    <t>Warehousing</t>
  </si>
  <si>
    <t>5210</t>
  </si>
  <si>
    <t>52101</t>
  </si>
  <si>
    <t>일반 창고업</t>
  </si>
  <si>
    <t>General Warehousing</t>
  </si>
  <si>
    <t>52102</t>
  </si>
  <si>
    <t>냉장 및 냉동 창고업</t>
  </si>
  <si>
    <t>Refrigerated Warehousing</t>
  </si>
  <si>
    <t>52103</t>
  </si>
  <si>
    <t>농산물 창고업</t>
  </si>
  <si>
    <t>Farm products warehousing</t>
  </si>
  <si>
    <t>52104</t>
  </si>
  <si>
    <t>위험물품 보관업</t>
  </si>
  <si>
    <t>Dangerous Goods Warehousing</t>
  </si>
  <si>
    <t>52109</t>
  </si>
  <si>
    <t>기타 보관 및 창고업</t>
  </si>
  <si>
    <t>Other Warehousing</t>
  </si>
  <si>
    <t>529</t>
  </si>
  <si>
    <t>기타 운송관련 서비스업</t>
  </si>
  <si>
    <t>Other Services Allied to Transport Agency</t>
  </si>
  <si>
    <t>5291</t>
  </si>
  <si>
    <t>육상 운송지원 서비스업</t>
  </si>
  <si>
    <t>Other Supporting Land Transport Activities</t>
  </si>
  <si>
    <t>52911</t>
  </si>
  <si>
    <t>철도 운송지원 서비스업</t>
  </si>
  <si>
    <t>Supporting, Railway Transport Activities</t>
  </si>
  <si>
    <t>52912</t>
  </si>
  <si>
    <t>여객 자동차 터미널 운영업</t>
  </si>
  <si>
    <t>Operation of Passenger Bus Terminal Facilities</t>
  </si>
  <si>
    <t>52913</t>
  </si>
  <si>
    <t>화물 자동차 터미널 운영업</t>
  </si>
  <si>
    <t>Operation of Freight Terminal Facilities</t>
  </si>
  <si>
    <t>52914</t>
  </si>
  <si>
    <t>도로 및 관련시설 운영업</t>
  </si>
  <si>
    <t>Operation of Highways and Related Facilities</t>
  </si>
  <si>
    <t>52915</t>
  </si>
  <si>
    <t>주차장 운영업</t>
  </si>
  <si>
    <t>Operation of Vehicle Parking Facilities</t>
  </si>
  <si>
    <t>52919</t>
  </si>
  <si>
    <t>기타 육상 운송지원 서비스업</t>
  </si>
  <si>
    <t>5292</t>
  </si>
  <si>
    <t>수상 운송지원 서비스업</t>
  </si>
  <si>
    <t>Supporting Water Transport Activities</t>
  </si>
  <si>
    <t>52921</t>
  </si>
  <si>
    <t>항구 및 기타 해상 터미널 운영업</t>
  </si>
  <si>
    <t>Operation of Harbour and Marine Terminal Facilities</t>
  </si>
  <si>
    <t>52929</t>
  </si>
  <si>
    <t>기타 수상 운송지원 서비스업</t>
  </si>
  <si>
    <t>Other Supporting Water Transport Activities</t>
  </si>
  <si>
    <t>5293</t>
  </si>
  <si>
    <t>항공 운송지원 서비스업</t>
  </si>
  <si>
    <t>Supporting Air Transport Activities</t>
  </si>
  <si>
    <t>52931</t>
  </si>
  <si>
    <t>공항 운영업</t>
  </si>
  <si>
    <t>Airport Operation</t>
  </si>
  <si>
    <t>52939</t>
  </si>
  <si>
    <t>기타 항공 운송지원 서비스업</t>
  </si>
  <si>
    <t>Other Supporting Air Transport Activities</t>
  </si>
  <si>
    <t>5294</t>
  </si>
  <si>
    <t>화물 취급업</t>
  </si>
  <si>
    <t>Cargo Handling</t>
  </si>
  <si>
    <t>52941</t>
  </si>
  <si>
    <t>항공 및 육상 화물 취급업</t>
  </si>
  <si>
    <t>Air Freight and Land Freight Handling</t>
  </si>
  <si>
    <t>52942</t>
  </si>
  <si>
    <t>수상 화물 취급업</t>
  </si>
  <si>
    <t>Water Freight Handling</t>
  </si>
  <si>
    <t>5299</t>
  </si>
  <si>
    <t>그외 기타 운송관련 서비스업</t>
  </si>
  <si>
    <t>Other Supporting Transport Services n.e.c.</t>
  </si>
  <si>
    <t>52991</t>
  </si>
  <si>
    <t>화물운송 중개, 대리 및 관련서비스업</t>
  </si>
  <si>
    <t>Freight Transport Brokerage, Agency and Other Supporting Transport Services</t>
  </si>
  <si>
    <t>52992</t>
  </si>
  <si>
    <t>화물포장, 검수 및 형량 서비스업</t>
  </si>
  <si>
    <t>Packing, Inspection and Weighing Services</t>
  </si>
  <si>
    <t>52999</t>
  </si>
  <si>
    <t>그외 기타 분류안된 운송관련 서비스업</t>
  </si>
  <si>
    <t>All Other Supporting Transport Services n.e.c.</t>
  </si>
  <si>
    <t>55</t>
  </si>
  <si>
    <t>숙박업</t>
  </si>
  <si>
    <t>Accommodation</t>
  </si>
  <si>
    <t>551</t>
  </si>
  <si>
    <t>숙박시설 운영업</t>
  </si>
  <si>
    <t>5511</t>
  </si>
  <si>
    <t>관광숙박시설 운영업</t>
  </si>
  <si>
    <t>Tourist Accommodation</t>
  </si>
  <si>
    <t>55111</t>
  </si>
  <si>
    <t>호텔업</t>
  </si>
  <si>
    <t>Hotels</t>
  </si>
  <si>
    <t>55112</t>
  </si>
  <si>
    <t>여관업</t>
  </si>
  <si>
    <t>Inns</t>
  </si>
  <si>
    <t>55113</t>
  </si>
  <si>
    <t>휴양콘도 운영업</t>
  </si>
  <si>
    <t>Condominium</t>
  </si>
  <si>
    <t>55114</t>
  </si>
  <si>
    <t>청소년수련시설 운영업</t>
  </si>
  <si>
    <t>juvenile Camps</t>
  </si>
  <si>
    <t>55119</t>
  </si>
  <si>
    <t>기타 관광숙박시설 운영업</t>
  </si>
  <si>
    <t>Other Tourist Accommodation</t>
  </si>
  <si>
    <t>559</t>
  </si>
  <si>
    <t>기타 숙박업</t>
  </si>
  <si>
    <t>Other Accommodation</t>
  </si>
  <si>
    <t>5590</t>
  </si>
  <si>
    <t>55901</t>
  </si>
  <si>
    <t>기숙사 운영업</t>
  </si>
  <si>
    <t>Boarding Houses</t>
  </si>
  <si>
    <t>55909</t>
  </si>
  <si>
    <t>그외 기타 숙박업</t>
  </si>
  <si>
    <t>Other Accommodation n.e.c.</t>
  </si>
  <si>
    <t>56</t>
  </si>
  <si>
    <t>음식점 및 주점업</t>
  </si>
  <si>
    <t>Food and beverage service activities</t>
  </si>
  <si>
    <t>561</t>
  </si>
  <si>
    <t>음식점업</t>
  </si>
  <si>
    <t>Restaurants, Bars and Canteens</t>
  </si>
  <si>
    <t>5611</t>
  </si>
  <si>
    <t>일반 음식점업</t>
  </si>
  <si>
    <t>Restaurants</t>
  </si>
  <si>
    <t>56111</t>
  </si>
  <si>
    <t>한식 음식점업</t>
  </si>
  <si>
    <t>Korean Style Restaurants</t>
  </si>
  <si>
    <t>56112</t>
  </si>
  <si>
    <t>중식 음식점업</t>
  </si>
  <si>
    <t>Chinese Style Restaurants</t>
  </si>
  <si>
    <t>56113</t>
  </si>
  <si>
    <t>일식 음식점업</t>
  </si>
  <si>
    <t>Japanese Style Restaurants</t>
  </si>
  <si>
    <t>56114</t>
  </si>
  <si>
    <t>서양식 음식점업</t>
  </si>
  <si>
    <t>Western Style Restaurants</t>
  </si>
  <si>
    <t>56119</t>
  </si>
  <si>
    <t>기타 외국식 음식점업</t>
  </si>
  <si>
    <t>Other Eastern and Western Style Restaurants</t>
  </si>
  <si>
    <t>5612</t>
  </si>
  <si>
    <t>기관구내식당업</t>
  </si>
  <si>
    <t>Cafeterias</t>
  </si>
  <si>
    <t>56120</t>
  </si>
  <si>
    <t>5613</t>
  </si>
  <si>
    <t>출장 및 이동 음식업</t>
  </si>
  <si>
    <t>Catering and Mobile Food Services</t>
  </si>
  <si>
    <t>56131</t>
  </si>
  <si>
    <t>출장 음식 서비스업</t>
  </si>
  <si>
    <t>Catering Food Services</t>
  </si>
  <si>
    <t>56132</t>
  </si>
  <si>
    <t>이동 음식업</t>
  </si>
  <si>
    <t>Mobile Food Services</t>
  </si>
  <si>
    <t>5619</t>
  </si>
  <si>
    <t>기타 음식점업</t>
  </si>
  <si>
    <t>Lunch Counters</t>
  </si>
  <si>
    <t>56191</t>
  </si>
  <si>
    <t>제과점업</t>
  </si>
  <si>
    <t>Confectioners Shops</t>
  </si>
  <si>
    <t>56192</t>
  </si>
  <si>
    <t>피자, 햄버거, 샌드위치 및 유사 음식점업</t>
  </si>
  <si>
    <t>Pizza, Hamburger, Sandwich and Similar Food Services</t>
  </si>
  <si>
    <t>56193</t>
  </si>
  <si>
    <t>치킨 전문점</t>
  </si>
  <si>
    <t>Chicken Shops</t>
  </si>
  <si>
    <t>56194</t>
  </si>
  <si>
    <t>분식 및 김밥 전문점</t>
  </si>
  <si>
    <t>Noodle Houses</t>
  </si>
  <si>
    <t>56199</t>
  </si>
  <si>
    <t>그외 기타 음식점업</t>
  </si>
  <si>
    <t>Other Lunch Counters n.e.c.</t>
  </si>
  <si>
    <t>562</t>
  </si>
  <si>
    <t>주점 및 비알콜음료점업</t>
  </si>
  <si>
    <t>Drinking Places and Non-Alcoholic Beverages Places</t>
  </si>
  <si>
    <t>5621</t>
  </si>
  <si>
    <t>주점업</t>
  </si>
  <si>
    <t>Drinking Places</t>
  </si>
  <si>
    <t>56211</t>
  </si>
  <si>
    <t>일반유흥 주점업</t>
  </si>
  <si>
    <t>General Amusement Drinking Places</t>
  </si>
  <si>
    <t>56212</t>
  </si>
  <si>
    <t>무도유흥 주점업</t>
  </si>
  <si>
    <t>Dancing Amusement Drinking Places</t>
  </si>
  <si>
    <t>56219</t>
  </si>
  <si>
    <t>기타 주점업</t>
  </si>
  <si>
    <t>Other Drinking Places</t>
  </si>
  <si>
    <t>5622</t>
  </si>
  <si>
    <t>비알콜 음료점업</t>
  </si>
  <si>
    <t>Non-Alcoholic Beverages Places</t>
  </si>
  <si>
    <t>56220</t>
  </si>
  <si>
    <t>58</t>
  </si>
  <si>
    <t>출판업</t>
  </si>
  <si>
    <t>Publishing activities</t>
  </si>
  <si>
    <t>581</t>
  </si>
  <si>
    <t>서적, 잡지 및 기타 인쇄물 출판업</t>
  </si>
  <si>
    <t>Publishing of Books, Magazines and Other Publications</t>
  </si>
  <si>
    <t>5811</t>
  </si>
  <si>
    <t>서적 출판업</t>
  </si>
  <si>
    <t>Publishing of Books</t>
  </si>
  <si>
    <t>58111</t>
  </si>
  <si>
    <t>교과서 및 학습서적 출판업</t>
  </si>
  <si>
    <t>Publishing of Textbooks and Study Books</t>
  </si>
  <si>
    <t>58112</t>
  </si>
  <si>
    <t>만화 출판업</t>
  </si>
  <si>
    <t>Publishing of Cartoons</t>
  </si>
  <si>
    <t>58119</t>
  </si>
  <si>
    <t>기타 서적 출판업</t>
  </si>
  <si>
    <t>Other Publishing</t>
  </si>
  <si>
    <t>5812</t>
  </si>
  <si>
    <t>신문, 잡지 및 정기간행물 출판업</t>
  </si>
  <si>
    <t>Publishing of Newspapers, Magazines and Periodicals</t>
  </si>
  <si>
    <t>58121</t>
  </si>
  <si>
    <t>신문 발행업</t>
  </si>
  <si>
    <t>Publishing of Newspapers</t>
  </si>
  <si>
    <t>58122</t>
  </si>
  <si>
    <t>잡지 및 정기간행물 발행업</t>
  </si>
  <si>
    <t>Publishing of Magazines and Periodicals</t>
  </si>
  <si>
    <t>58123</t>
  </si>
  <si>
    <t>정기 광고간행물 발행업</t>
  </si>
  <si>
    <t>Publishing of Advertising Periodicals</t>
  </si>
  <si>
    <t>5819</t>
  </si>
  <si>
    <t>기타 인쇄물 출판업</t>
  </si>
  <si>
    <t>Other Publishing of Prints</t>
  </si>
  <si>
    <t>58190</t>
  </si>
  <si>
    <t>582</t>
  </si>
  <si>
    <t>소프트웨어 개발 및 공급업</t>
  </si>
  <si>
    <t>Software Development and Supply</t>
  </si>
  <si>
    <t>5821</t>
  </si>
  <si>
    <t>게임 소프트웨어 개발 및 공급업</t>
  </si>
  <si>
    <t>Game Software Development and Supply</t>
  </si>
  <si>
    <t>58211</t>
  </si>
  <si>
    <t>온라인·모바일 게임 소프트웨어 개발 및 공급업</t>
  </si>
  <si>
    <t>Online and Mobile Game Software Development and Supply</t>
  </si>
  <si>
    <t>58219</t>
  </si>
  <si>
    <t>기타 게임 소프트웨어 개발 및 공급업</t>
  </si>
  <si>
    <t>Other Game Software Development and Supply</t>
  </si>
  <si>
    <t>5822</t>
  </si>
  <si>
    <t>시스템·응용 소프트웨어 개발 및 공급업</t>
  </si>
  <si>
    <t>System and Application Software Development and Supply</t>
  </si>
  <si>
    <t>58221</t>
  </si>
  <si>
    <t>시스템  소프트웨어 개발 및 공급업</t>
  </si>
  <si>
    <t>System Software Development and Supply</t>
  </si>
  <si>
    <t>58222</t>
  </si>
  <si>
    <t>응용소프트웨어 개발 및 공급업</t>
  </si>
  <si>
    <t>Application Software Development and Supply</t>
  </si>
  <si>
    <t>59</t>
  </si>
  <si>
    <t>영상·오디오 기록물 제작 및 배급업</t>
  </si>
  <si>
    <t>Motion picture, video and television programme production, sound recording and music publishing activities</t>
  </si>
  <si>
    <t>591</t>
  </si>
  <si>
    <t>영화, 비디오물, 방송프로그램 제작 및 배급업</t>
  </si>
  <si>
    <t>Motion Picture, Video, Broadcasting Programmes Production and Distribution</t>
  </si>
  <si>
    <t>5911</t>
  </si>
  <si>
    <t>영화, 비디오물 및 방송프로그램 제작업</t>
  </si>
  <si>
    <t>Motion Picture, Video, Broadcasting Programmes Production</t>
  </si>
  <si>
    <t>59111</t>
  </si>
  <si>
    <t>일반 영화 및 비디오물 제작업</t>
  </si>
  <si>
    <t>General Motion Picture and Video Production</t>
  </si>
  <si>
    <t>59112</t>
  </si>
  <si>
    <t>애니메이션 영화 및 비디오물 제작업</t>
  </si>
  <si>
    <t>Animated Cartoon and Video Production</t>
  </si>
  <si>
    <t>59113</t>
  </si>
  <si>
    <t>광고 영화 및 비디오물 제작업</t>
  </si>
  <si>
    <t>Commercials Advertising Motion Picture and Video Production</t>
  </si>
  <si>
    <t>59114</t>
  </si>
  <si>
    <t>방송 프로그램 제작업</t>
  </si>
  <si>
    <t>Broadcasting Programmes Production</t>
  </si>
  <si>
    <t>5912</t>
  </si>
  <si>
    <t>영화, 비디오물 및 방송프로그램 제작 관련 서비스업</t>
  </si>
  <si>
    <t>Motion Picture, Video, Broadcasting Programmes Production Related Services</t>
  </si>
  <si>
    <t>59120</t>
  </si>
  <si>
    <t>5913</t>
  </si>
  <si>
    <t>영화, 비디오물 및 방송프로그램 배급업</t>
  </si>
  <si>
    <t>Motion Picture, Video, Broadcasting Programmes Distribution</t>
  </si>
  <si>
    <t>59130</t>
  </si>
  <si>
    <t>5914</t>
  </si>
  <si>
    <t>영화 및 비디오물 상영업</t>
  </si>
  <si>
    <t>Motion Picture and Video Exhibition</t>
  </si>
  <si>
    <t>59141</t>
  </si>
  <si>
    <t>영화관 운영업</t>
  </si>
  <si>
    <t>Motion Picture Exhibition</t>
  </si>
  <si>
    <t>59142</t>
  </si>
  <si>
    <t>비디오물 감상실 운영업</t>
  </si>
  <si>
    <t>Video Exhibition Rooms</t>
  </si>
  <si>
    <t>592</t>
  </si>
  <si>
    <t>오디오물 출판 및 원판 녹음업</t>
  </si>
  <si>
    <t>Audio Publishing and Original Master Recordings</t>
  </si>
  <si>
    <t>5920</t>
  </si>
  <si>
    <t>59201</t>
  </si>
  <si>
    <t>음악 및 기타 오디오물 출판업</t>
  </si>
  <si>
    <t>Publishing of Music and Other Audio</t>
  </si>
  <si>
    <t>59202</t>
  </si>
  <si>
    <t>녹음시설 운영업</t>
  </si>
  <si>
    <t>Sound-Recording Studios</t>
  </si>
  <si>
    <t>60</t>
  </si>
  <si>
    <t>방송업</t>
  </si>
  <si>
    <t>Broadcasting</t>
  </si>
  <si>
    <t>601</t>
  </si>
  <si>
    <t>라디오 방송업</t>
  </si>
  <si>
    <t>Radio Broadcasting</t>
  </si>
  <si>
    <t>6010</t>
  </si>
  <si>
    <t>60100</t>
  </si>
  <si>
    <t>602</t>
  </si>
  <si>
    <t>텔레비전 방송업</t>
  </si>
  <si>
    <t>Television Broadcasting</t>
  </si>
  <si>
    <t>6021</t>
  </si>
  <si>
    <t>지상파 방송업</t>
  </si>
  <si>
    <t>Over-the-Air Broadcasting</t>
  </si>
  <si>
    <t>60210</t>
  </si>
  <si>
    <t>6022</t>
  </si>
  <si>
    <t>유선, 위성 및 기타 방송업</t>
  </si>
  <si>
    <t>Broadcasting via Cable, Satellite and Other Broadcasting</t>
  </si>
  <si>
    <t>60221</t>
  </si>
  <si>
    <t>프로그램 공급업</t>
  </si>
  <si>
    <t>Other Program Distribution</t>
  </si>
  <si>
    <t>60222</t>
  </si>
  <si>
    <t>유선방송업</t>
  </si>
  <si>
    <t>Cable Networks</t>
  </si>
  <si>
    <t>60229</t>
  </si>
  <si>
    <t>위성 및 기타 방송업</t>
  </si>
  <si>
    <t>Broadcasting via Satellite and Other Broadcasting</t>
  </si>
  <si>
    <t>61</t>
  </si>
  <si>
    <t>통신업</t>
  </si>
  <si>
    <t>Telecommunications</t>
  </si>
  <si>
    <t>611</t>
  </si>
  <si>
    <t>우편업</t>
  </si>
  <si>
    <t>Postal Services</t>
  </si>
  <si>
    <t>6110</t>
  </si>
  <si>
    <t>61100</t>
  </si>
  <si>
    <t>612</t>
  </si>
  <si>
    <t>전기통신업</t>
  </si>
  <si>
    <t>6121</t>
  </si>
  <si>
    <t>유선통신업</t>
  </si>
  <si>
    <t>Wired Telecommunications</t>
  </si>
  <si>
    <t>61210</t>
  </si>
  <si>
    <t>6122</t>
  </si>
  <si>
    <t>무선통신업</t>
  </si>
  <si>
    <t>Wireless Telecommunications</t>
  </si>
  <si>
    <t>61220</t>
  </si>
  <si>
    <t>6123</t>
  </si>
  <si>
    <t>위성통신업</t>
  </si>
  <si>
    <t>Satellite Telecommunications</t>
  </si>
  <si>
    <t>61230</t>
  </si>
  <si>
    <t>6129</t>
  </si>
  <si>
    <t>기타 전기통신업</t>
  </si>
  <si>
    <t>Other Telecommunications</t>
  </si>
  <si>
    <t>61291</t>
  </si>
  <si>
    <t>통신 재판매업</t>
  </si>
  <si>
    <t>Telecommunications Resellers</t>
  </si>
  <si>
    <t>61299</t>
  </si>
  <si>
    <t>그외 기타 전기 통신업</t>
  </si>
  <si>
    <t>Other Telecommunications n.e.c.</t>
  </si>
  <si>
    <t>62</t>
  </si>
  <si>
    <t>컴퓨터 프로그래밍, 시스템 통합 및 관리업</t>
  </si>
  <si>
    <t>Computer programming, consultancy and related activities</t>
  </si>
  <si>
    <t>620</t>
  </si>
  <si>
    <t>Computer programming, System Integration and Management Services</t>
  </si>
  <si>
    <t>6201</t>
  </si>
  <si>
    <t>컴퓨터 프로그래밍 서비스업</t>
  </si>
  <si>
    <t>Computer programming Services</t>
  </si>
  <si>
    <t>62010</t>
  </si>
  <si>
    <t>6202</t>
  </si>
  <si>
    <t>컴퓨터시스템 통합 자문, 구축 및 관리업</t>
  </si>
  <si>
    <t>Computer System Integration Consultancy, Establishment and Management Services</t>
  </si>
  <si>
    <t>62021</t>
  </si>
  <si>
    <t>컴퓨터시스템 통합 자문 및 구축 서비스업</t>
  </si>
  <si>
    <t>Computer System Integration Consultancy and Establishment Services</t>
  </si>
  <si>
    <t>62022</t>
  </si>
  <si>
    <t>컴퓨터시설 관리업</t>
  </si>
  <si>
    <t>Computer Facilities Management Services</t>
  </si>
  <si>
    <t>6209</t>
  </si>
  <si>
    <t>기타 정보기술 및 컴퓨터운영 관련 서비스업</t>
  </si>
  <si>
    <t>Other Information Technology and Computer Operation Related Services</t>
  </si>
  <si>
    <t>62090</t>
  </si>
  <si>
    <t>63</t>
  </si>
  <si>
    <t>정보서비스업</t>
  </si>
  <si>
    <t>Information service activities</t>
  </si>
  <si>
    <t>631</t>
  </si>
  <si>
    <t>자료처리, 호스팅, 포털 및 기타 인터넷 정보매개서비스업</t>
  </si>
  <si>
    <t>Data Processing, Hosting, Portals and Other Internet Information Media Service Actvities</t>
  </si>
  <si>
    <t>6311</t>
  </si>
  <si>
    <t>자료처리, 호스팅 및 관련 서비스업</t>
  </si>
  <si>
    <t>Data Processing, Hosting and Related Service Actvities</t>
  </si>
  <si>
    <t>63111</t>
  </si>
  <si>
    <t>자료 처리업</t>
  </si>
  <si>
    <t>Data Processing</t>
  </si>
  <si>
    <t>63112</t>
  </si>
  <si>
    <t>호스팅 및 관련 서비스업</t>
  </si>
  <si>
    <t>Hosting and Related Service Actvities</t>
  </si>
  <si>
    <t>6312</t>
  </si>
  <si>
    <t>포털 및 기타 인터넷 정보매개 서비스업</t>
  </si>
  <si>
    <t>Portals and Other Internet Information Media Service Actvities</t>
  </si>
  <si>
    <t>63120</t>
  </si>
  <si>
    <t>639</t>
  </si>
  <si>
    <t>기타 정보 서비스업</t>
  </si>
  <si>
    <t>Other Information Service Activities</t>
  </si>
  <si>
    <t>6391</t>
  </si>
  <si>
    <t>뉴스 제공업</t>
  </si>
  <si>
    <t>News Agency Activities</t>
  </si>
  <si>
    <t>63910</t>
  </si>
  <si>
    <t>6399</t>
  </si>
  <si>
    <t>그외 기타 정보 서비스업</t>
  </si>
  <si>
    <t>Other Information Service Activities n.e.c.</t>
  </si>
  <si>
    <t>63991</t>
  </si>
  <si>
    <t>데이터베이스 및 온라인정보 제공업</t>
  </si>
  <si>
    <t>Data Base Activities and On-line Information Provision Services</t>
  </si>
  <si>
    <t>63999</t>
  </si>
  <si>
    <t>64</t>
  </si>
  <si>
    <t>금융업</t>
  </si>
  <si>
    <t>Financial Institutions, Except Insurance and Pension Funding</t>
  </si>
  <si>
    <t>641</t>
  </si>
  <si>
    <t>은행 및 저축기관</t>
  </si>
  <si>
    <t>Banking and Savings Institutions</t>
  </si>
  <si>
    <t>6411</t>
  </si>
  <si>
    <t>중앙은행</t>
  </si>
  <si>
    <t>Central Banking</t>
  </si>
  <si>
    <t>64110</t>
  </si>
  <si>
    <t>6412</t>
  </si>
  <si>
    <t>일반은행</t>
  </si>
  <si>
    <t>Commercial Banking</t>
  </si>
  <si>
    <t>64121</t>
  </si>
  <si>
    <t>국내은행</t>
  </si>
  <si>
    <t>Domestic Commercial Banking</t>
  </si>
  <si>
    <t>64122</t>
  </si>
  <si>
    <t>외국은행</t>
  </si>
  <si>
    <t>Branches of Foreign Banks</t>
  </si>
  <si>
    <t>6413</t>
  </si>
  <si>
    <t>신용조합 및 저축기관</t>
  </si>
  <si>
    <t>Credit Unions and Savings Institutions</t>
  </si>
  <si>
    <t>64131</t>
  </si>
  <si>
    <t>신용조합</t>
  </si>
  <si>
    <t>Credit Unions</t>
  </si>
  <si>
    <t>64132</t>
  </si>
  <si>
    <t>상호저축은행</t>
  </si>
  <si>
    <t>Mutual Savings Banking</t>
  </si>
  <si>
    <t>64139</t>
  </si>
  <si>
    <t>기타 저축기관</t>
  </si>
  <si>
    <t>Other Savings Institutions</t>
  </si>
  <si>
    <t>642</t>
  </si>
  <si>
    <t>투자기관</t>
  </si>
  <si>
    <t>Investment Companies</t>
  </si>
  <si>
    <t>6420</t>
  </si>
  <si>
    <t>64201</t>
  </si>
  <si>
    <t>자산운용회사</t>
  </si>
  <si>
    <t>Asset Management Corporation</t>
  </si>
  <si>
    <t>64209</t>
  </si>
  <si>
    <t>기타 투자기관</t>
  </si>
  <si>
    <t>Other Investment Companies</t>
  </si>
  <si>
    <t>649</t>
  </si>
  <si>
    <t>기타 금융업</t>
  </si>
  <si>
    <t>Other Financial Intermediation</t>
  </si>
  <si>
    <t>6491</t>
  </si>
  <si>
    <t>여신금융업</t>
  </si>
  <si>
    <t>Credit Granting</t>
  </si>
  <si>
    <t>64911</t>
  </si>
  <si>
    <t>금융리스업</t>
  </si>
  <si>
    <t>Financial Leasing</t>
  </si>
  <si>
    <t>64912</t>
  </si>
  <si>
    <t>개발금융기관</t>
  </si>
  <si>
    <t>Development Financial Institutions</t>
  </si>
  <si>
    <t>64913</t>
  </si>
  <si>
    <t>신용카드 및 할부금융업</t>
  </si>
  <si>
    <t>Credit Card and Installment Financial Business</t>
  </si>
  <si>
    <t>64919</t>
  </si>
  <si>
    <t>그외 기타 여신금융업</t>
  </si>
  <si>
    <t>Other Credit Granting n.e.c.</t>
  </si>
  <si>
    <t>6499</t>
  </si>
  <si>
    <t>그외 기타 금융업</t>
  </si>
  <si>
    <t>Other Financial Intermediation n.e.c.</t>
  </si>
  <si>
    <t>64991</t>
  </si>
  <si>
    <t>기금 운영업</t>
  </si>
  <si>
    <t>Public Fund Management Business</t>
  </si>
  <si>
    <t>64992</t>
  </si>
  <si>
    <t>금융지주회사</t>
  </si>
  <si>
    <t>Financial Holding Company</t>
  </si>
  <si>
    <t>64999</t>
  </si>
  <si>
    <t>그외 기타 분류안된 금융업</t>
  </si>
  <si>
    <t>Other Financial Business n.e.c.</t>
  </si>
  <si>
    <t>65</t>
  </si>
  <si>
    <t>보험 및 연금업</t>
  </si>
  <si>
    <t>Insurance and Pension Funding</t>
  </si>
  <si>
    <t>651</t>
  </si>
  <si>
    <t>보험업</t>
  </si>
  <si>
    <t>Insurance</t>
  </si>
  <si>
    <t>6511</t>
  </si>
  <si>
    <t>생명 보험업</t>
  </si>
  <si>
    <t>Life Insurance</t>
  </si>
  <si>
    <t>65110</t>
  </si>
  <si>
    <t>6512</t>
  </si>
  <si>
    <t>손해 및 보증 보험업</t>
  </si>
  <si>
    <t>Non-life and Guarantee Insurance</t>
  </si>
  <si>
    <t>65121</t>
  </si>
  <si>
    <t>손해 보험업</t>
  </si>
  <si>
    <t>Non-life Insurance</t>
  </si>
  <si>
    <t>65122</t>
  </si>
  <si>
    <t>보증 보험업</t>
  </si>
  <si>
    <t>Guarantee Insurance</t>
  </si>
  <si>
    <t>6513</t>
  </si>
  <si>
    <t>사회보장 보험업</t>
  </si>
  <si>
    <t>Social Security insurance</t>
  </si>
  <si>
    <t>65131</t>
  </si>
  <si>
    <t>건강 보험업</t>
  </si>
  <si>
    <t>Health Insurance</t>
  </si>
  <si>
    <t>65139</t>
  </si>
  <si>
    <t>산업재해 및 기타 사회보장 보험업</t>
  </si>
  <si>
    <t>Workmen's Accident Compensation Insurance and Other Social Security Insurance</t>
  </si>
  <si>
    <t>652</t>
  </si>
  <si>
    <t>재 보험업</t>
  </si>
  <si>
    <t>Reinsurance</t>
  </si>
  <si>
    <t>6520</t>
  </si>
  <si>
    <t>65200</t>
  </si>
  <si>
    <t>653</t>
  </si>
  <si>
    <t>연금 및 공제업</t>
  </si>
  <si>
    <t>Pension Fund and Mutual Aid Organizations</t>
  </si>
  <si>
    <t>6530</t>
  </si>
  <si>
    <t>65301</t>
  </si>
  <si>
    <t>개인 공제업</t>
  </si>
  <si>
    <t>Individual Mutual Aid Organizations</t>
  </si>
  <si>
    <t>65302</t>
  </si>
  <si>
    <t>사업 공제업</t>
  </si>
  <si>
    <t>Business Mutual Aid Organizations</t>
  </si>
  <si>
    <t>65303</t>
  </si>
  <si>
    <t>연금업</t>
  </si>
  <si>
    <t>Pension Fund</t>
  </si>
  <si>
    <t>66</t>
  </si>
  <si>
    <t>금융 및 보험 관련 서비스업</t>
  </si>
  <si>
    <t>Activities Auxiliary to Financial Service and Insurance Activities</t>
  </si>
  <si>
    <t>661</t>
  </si>
  <si>
    <t>금융지원 서비스업</t>
  </si>
  <si>
    <t>Activities Auxiliary to Financial Service Activities</t>
  </si>
  <si>
    <t>6611</t>
  </si>
  <si>
    <t>금융시장 관리업</t>
  </si>
  <si>
    <t>Administration of Financial Markets</t>
  </si>
  <si>
    <t>66110</t>
  </si>
  <si>
    <t>6612</t>
  </si>
  <si>
    <t>증권 및 선물 중개업</t>
  </si>
  <si>
    <t>Securities Dealing Activities</t>
  </si>
  <si>
    <t>66121</t>
  </si>
  <si>
    <t>증권 중개업</t>
  </si>
  <si>
    <t>Securities Brokerage</t>
  </si>
  <si>
    <t>66122</t>
  </si>
  <si>
    <t>선물 중개업</t>
  </si>
  <si>
    <t>Commodity Exchange</t>
  </si>
  <si>
    <t>6619</t>
  </si>
  <si>
    <t>기타 금융지원 서비스업</t>
  </si>
  <si>
    <t>Other Activities Auxiliary to Financial Service Activities</t>
  </si>
  <si>
    <t>66191</t>
  </si>
  <si>
    <t>유가증권 관리 및 보관업</t>
  </si>
  <si>
    <t>Portfolio Management, Trust and Custody Services</t>
  </si>
  <si>
    <t>66192</t>
  </si>
  <si>
    <t>투자 자문업</t>
  </si>
  <si>
    <t>Investment Advice</t>
  </si>
  <si>
    <t>66199</t>
  </si>
  <si>
    <t>그외 기타 금융지원 서비스업</t>
  </si>
  <si>
    <t>Other Activities Auxiliary to Financial Service Activities n.e.c.</t>
  </si>
  <si>
    <t>662</t>
  </si>
  <si>
    <t>보험 및 연금관련 서비스업</t>
  </si>
  <si>
    <t>Activities Auxiliary to Insurance and Pension Funding</t>
  </si>
  <si>
    <t>6620</t>
  </si>
  <si>
    <t>66201</t>
  </si>
  <si>
    <t>손해사정업</t>
  </si>
  <si>
    <t>Claims Adjusting</t>
  </si>
  <si>
    <t>66202</t>
  </si>
  <si>
    <t>보험대리 및 중개업</t>
  </si>
  <si>
    <t>Insurance Agents and Brokers</t>
  </si>
  <si>
    <t>66209</t>
  </si>
  <si>
    <t>기타 보험 및 연금관련 서비스업</t>
  </si>
  <si>
    <t>Other Activities Auxiliary to Insurance and Pension Funding</t>
  </si>
  <si>
    <t>68</t>
  </si>
  <si>
    <t>부동산업</t>
  </si>
  <si>
    <t>Real Estate Activities</t>
  </si>
  <si>
    <t>681</t>
  </si>
  <si>
    <t>부동산 임대 및 공급업</t>
  </si>
  <si>
    <t>Real Estate Activities with Own or Leased Property</t>
  </si>
  <si>
    <t>6811</t>
  </si>
  <si>
    <t>부동산 임대업</t>
  </si>
  <si>
    <t>Renting of Real Estate</t>
  </si>
  <si>
    <t>68111</t>
  </si>
  <si>
    <t>주거용 건물 임대업</t>
  </si>
  <si>
    <t>Renting of Residential Buildings</t>
  </si>
  <si>
    <t>68112</t>
  </si>
  <si>
    <t>비주거용 건물 임대업</t>
  </si>
  <si>
    <t>Renting of Non-Residential Buildings</t>
  </si>
  <si>
    <t>68119</t>
  </si>
  <si>
    <t>기타 부동산 임대업</t>
  </si>
  <si>
    <t>Other renting of Real Estate</t>
  </si>
  <si>
    <t>6812</t>
  </si>
  <si>
    <t>부동산 개발 및 공급업</t>
  </si>
  <si>
    <t>Development and Subdividing of Real Estate</t>
  </si>
  <si>
    <t>68121</t>
  </si>
  <si>
    <t>주거용 건물 개발 및 공급업</t>
  </si>
  <si>
    <t>Development and Subdividing of Residential Buildings</t>
  </si>
  <si>
    <t>68122</t>
  </si>
  <si>
    <t>비주거용 건물 개발 및 공급업</t>
  </si>
  <si>
    <t>Development and Subdividing of Non-Residential Buildings</t>
  </si>
  <si>
    <t>68129</t>
  </si>
  <si>
    <t>기타 부동산 개발 및 공급업</t>
  </si>
  <si>
    <t>Development and Subdividing of Other Real Estate</t>
  </si>
  <si>
    <t>682</t>
  </si>
  <si>
    <t>부동산 관련 서비스업</t>
  </si>
  <si>
    <t>Activities Related to Real Estate</t>
  </si>
  <si>
    <t>6821</t>
  </si>
  <si>
    <t>부동산 관리업</t>
  </si>
  <si>
    <t>Real Estate Property Management</t>
  </si>
  <si>
    <t>68211</t>
  </si>
  <si>
    <t>주거용 부동산 관리업</t>
  </si>
  <si>
    <t>Residential Property Management</t>
  </si>
  <si>
    <t>68212</t>
  </si>
  <si>
    <t>비주거용 부동산 관리업</t>
  </si>
  <si>
    <t>Nonresidential Property Management</t>
  </si>
  <si>
    <t>6822</t>
  </si>
  <si>
    <t>부동산 중개 및 감정평가업</t>
  </si>
  <si>
    <t>Real Estate Brokerage and Appraisal</t>
  </si>
  <si>
    <t>68221</t>
  </si>
  <si>
    <t>부동산 자문 및 중개업</t>
  </si>
  <si>
    <t>Real Estate Consultancy and Brokerage</t>
  </si>
  <si>
    <t>68222</t>
  </si>
  <si>
    <t>부동산 감정평가업</t>
  </si>
  <si>
    <t>Real Estate Appraisal</t>
  </si>
  <si>
    <t>69</t>
  </si>
  <si>
    <t>임대업;부동산 제외</t>
  </si>
  <si>
    <t>Renting and leasing; except real estate</t>
  </si>
  <si>
    <t>691</t>
  </si>
  <si>
    <t>운송장비 임대업</t>
  </si>
  <si>
    <t>Renting of Transport Equipment</t>
  </si>
  <si>
    <t>6911</t>
  </si>
  <si>
    <t>자동차 임대업</t>
  </si>
  <si>
    <t>Renting of Motor Vehicles</t>
  </si>
  <si>
    <t>69110</t>
  </si>
  <si>
    <t>6919</t>
  </si>
  <si>
    <t>기타 운송장비 임대업</t>
  </si>
  <si>
    <t>Renting of Other Transport Equipment</t>
  </si>
  <si>
    <t>69190</t>
  </si>
  <si>
    <t>692</t>
  </si>
  <si>
    <t>개인 및 가정용품 임대업</t>
  </si>
  <si>
    <t>Renting of Personal and Household Goods</t>
  </si>
  <si>
    <t>6921</t>
  </si>
  <si>
    <t>스포츠 및 레크레이션 용품 임대업</t>
  </si>
  <si>
    <t>Renting of Sports and Recreational Equipment</t>
  </si>
  <si>
    <t>69210</t>
  </si>
  <si>
    <t>6922</t>
  </si>
  <si>
    <t>음반 및 비디오물 임대업</t>
  </si>
  <si>
    <t>Discs and Video Tapes renting</t>
  </si>
  <si>
    <t>69220</t>
  </si>
  <si>
    <t>6929</t>
  </si>
  <si>
    <t>기타 개인 및 가정용품 임대업</t>
  </si>
  <si>
    <t>Renting of Other Personal and Household Goods</t>
  </si>
  <si>
    <t>69291</t>
  </si>
  <si>
    <t>서적 임대업</t>
  </si>
  <si>
    <t>Books renting</t>
  </si>
  <si>
    <t>69292</t>
  </si>
  <si>
    <t>의류 임대업</t>
  </si>
  <si>
    <t>Formal and Costume Renting</t>
  </si>
  <si>
    <t>69299</t>
  </si>
  <si>
    <t>그외 기타 개인 및 가정용품 임대업</t>
  </si>
  <si>
    <t>Renting of Other Personal and Household Goods n.e.c.</t>
  </si>
  <si>
    <t>693</t>
  </si>
  <si>
    <t>산업용 기계 및 장비 임대업</t>
  </si>
  <si>
    <t>Renting of Industrial+D1505 Machinery and Equipment</t>
  </si>
  <si>
    <t>6931</t>
  </si>
  <si>
    <t>건설 및 토목공사용 기계장비 임대업</t>
  </si>
  <si>
    <t>Renting of Construction and Civil Engineering Machinery and Equipment</t>
  </si>
  <si>
    <t>69310</t>
  </si>
  <si>
    <t>6932</t>
  </si>
  <si>
    <t>컴퓨터 및 사무용 기계장비 임대업</t>
  </si>
  <si>
    <t>Renting of Computers and Office Equipment</t>
  </si>
  <si>
    <t>69320</t>
  </si>
  <si>
    <t>6939</t>
  </si>
  <si>
    <t>기타 산업용 기계 및 장비 임대업</t>
  </si>
  <si>
    <t>Renting of Other Industries Machinery and Equipment</t>
  </si>
  <si>
    <t>69390</t>
  </si>
  <si>
    <t>694</t>
  </si>
  <si>
    <t>무형재산권 임대업</t>
  </si>
  <si>
    <t>Leasing of Intangible Property</t>
  </si>
  <si>
    <t>6940</t>
  </si>
  <si>
    <t>69400</t>
  </si>
  <si>
    <t>70</t>
  </si>
  <si>
    <t>연구개발업</t>
  </si>
  <si>
    <t>Research and Development</t>
  </si>
  <si>
    <t>701</t>
  </si>
  <si>
    <t>자연과학 및 공학 연구개발업</t>
  </si>
  <si>
    <t>Research and Experimental Development On Natural Sciences and Engineering</t>
  </si>
  <si>
    <t>7011</t>
  </si>
  <si>
    <t>자연과학 연구개발업</t>
  </si>
  <si>
    <t>Research and Experimental Development On Natural Sciences</t>
  </si>
  <si>
    <t>70111</t>
  </si>
  <si>
    <t>물리, 화학 및 생물학 연구개발업</t>
  </si>
  <si>
    <t>Research and Experimental Development on Physics, Chemistry and Biology</t>
  </si>
  <si>
    <t>70112</t>
  </si>
  <si>
    <t>농학 연구개발업</t>
  </si>
  <si>
    <t>Research and Experimental Development On Agriculture</t>
  </si>
  <si>
    <t>70113</t>
  </si>
  <si>
    <t>의학 및 약학 연구개발업</t>
  </si>
  <si>
    <t>Research and Experimental Development On Medical Sciences and Pharmacy</t>
  </si>
  <si>
    <t>70119</t>
  </si>
  <si>
    <t>기타 자연과학 연구개발업</t>
  </si>
  <si>
    <t>Other Research and Experimental Development on Other Natural Sciences</t>
  </si>
  <si>
    <t>7012</t>
  </si>
  <si>
    <t>공학 연구개발업</t>
  </si>
  <si>
    <t>Research and Experimental Development On Engineering</t>
  </si>
  <si>
    <t>70121</t>
  </si>
  <si>
    <t>전기·전자공학 연구개발업</t>
  </si>
  <si>
    <t>Research and Experimental Development On Electrical？lectronic Engineering</t>
  </si>
  <si>
    <t>70129</t>
  </si>
  <si>
    <t>기타 공학 연구개발업</t>
  </si>
  <si>
    <t>Research and Experimental Development On Other Engineering</t>
  </si>
  <si>
    <t>702</t>
  </si>
  <si>
    <t>인문 및 사회과학 연구개발업</t>
  </si>
  <si>
    <t>Research and Experimental Development On Social Sciences and Humanities</t>
  </si>
  <si>
    <t>7020</t>
  </si>
  <si>
    <t>70201</t>
  </si>
  <si>
    <t>경제학 연구개발업</t>
  </si>
  <si>
    <t>Research and Experimental Development On Economics</t>
  </si>
  <si>
    <t>70209</t>
  </si>
  <si>
    <t>기타 인문 및 사회과학 연구개발업</t>
  </si>
  <si>
    <t>Other Research and Experimental Development on Social Sciences and Humanities</t>
  </si>
  <si>
    <t>71</t>
  </si>
  <si>
    <t>전문서비스업</t>
  </si>
  <si>
    <t>Professional  Services</t>
  </si>
  <si>
    <t>711</t>
  </si>
  <si>
    <t>법무관련 서비스업</t>
  </si>
  <si>
    <t>Legal Services</t>
  </si>
  <si>
    <t>7110</t>
  </si>
  <si>
    <t>71101</t>
  </si>
  <si>
    <t>변호사업</t>
  </si>
  <si>
    <t>Legal Representation</t>
  </si>
  <si>
    <t>71102</t>
  </si>
  <si>
    <t>변리사업</t>
  </si>
  <si>
    <t>Patent Attorney Representation</t>
  </si>
  <si>
    <t>71103</t>
  </si>
  <si>
    <t>법무사업</t>
  </si>
  <si>
    <t>Legal Document Services</t>
  </si>
  <si>
    <t>71109</t>
  </si>
  <si>
    <t>기타 법무관련 서비스업</t>
  </si>
  <si>
    <t>Other Legal Services</t>
  </si>
  <si>
    <t>712</t>
  </si>
  <si>
    <t>회계 및 세무관련 서비스업</t>
  </si>
  <si>
    <t>Accounting, Tax Preparation, Bookkeeping and Payroll Services</t>
  </si>
  <si>
    <t>7120</t>
  </si>
  <si>
    <t>71201</t>
  </si>
  <si>
    <t>공인회계사업</t>
  </si>
  <si>
    <t>Certified Public Accounting Services</t>
  </si>
  <si>
    <t>71202</t>
  </si>
  <si>
    <t>세무사업</t>
  </si>
  <si>
    <t>Taxation Services</t>
  </si>
  <si>
    <t>71209</t>
  </si>
  <si>
    <t>기타 회계관련 서비스업</t>
  </si>
  <si>
    <t>Other Accounting Book-Keeping and Auditing Activities</t>
  </si>
  <si>
    <t>713</t>
  </si>
  <si>
    <t>광고업</t>
  </si>
  <si>
    <t>Advertising</t>
  </si>
  <si>
    <t>7131</t>
  </si>
  <si>
    <t>광고 대행업</t>
  </si>
  <si>
    <t>Advertising Agencies</t>
  </si>
  <si>
    <t>71310</t>
  </si>
  <si>
    <t>Media Advertising Agencies</t>
  </si>
  <si>
    <t>7139</t>
  </si>
  <si>
    <t>기타 광고업</t>
  </si>
  <si>
    <t>Other Advertising</t>
  </si>
  <si>
    <t>71391</t>
  </si>
  <si>
    <t>옥외 및 전시 광고업</t>
  </si>
  <si>
    <t>Outdoor and Exhibition Advertising</t>
  </si>
  <si>
    <t>71392</t>
  </si>
  <si>
    <t>광고매체 판매업</t>
  </si>
  <si>
    <t>Media Representatives And Media Buying Agencies</t>
  </si>
  <si>
    <t>71393</t>
  </si>
  <si>
    <t>광고물 작성업</t>
  </si>
  <si>
    <t>Advertising Preparation</t>
  </si>
  <si>
    <t>71399</t>
  </si>
  <si>
    <t>그외 기타 광고업</t>
  </si>
  <si>
    <t>Other Advertising n.e.c.</t>
  </si>
  <si>
    <t>714</t>
  </si>
  <si>
    <t>시장조사 및 여론조사업</t>
  </si>
  <si>
    <t>Market Research and Public Opinion Polling</t>
  </si>
  <si>
    <t>7140</t>
  </si>
  <si>
    <t>71400</t>
  </si>
  <si>
    <t>715</t>
  </si>
  <si>
    <t>회사본부, 지주회사 및 경영컨설팅 서비스업</t>
  </si>
  <si>
    <t>Activities of Head Offices, Holding Companies and Management Consultancy</t>
  </si>
  <si>
    <t>7151</t>
  </si>
  <si>
    <t>회사본부</t>
  </si>
  <si>
    <t>Activities of Head Offices</t>
  </si>
  <si>
    <t>71511</t>
  </si>
  <si>
    <t>제조업 회사본부</t>
  </si>
  <si>
    <t>Activities of  Head Offices for Manufacturing</t>
  </si>
  <si>
    <t>71519</t>
  </si>
  <si>
    <t>기타 산업 회사본부</t>
  </si>
  <si>
    <t>Activities of Head Offices for Other  Industries</t>
  </si>
  <si>
    <t>7152</t>
  </si>
  <si>
    <t>비금융 지주회사</t>
  </si>
  <si>
    <t>Non-Financial Holding Companies</t>
  </si>
  <si>
    <t>71520</t>
  </si>
  <si>
    <t>7153</t>
  </si>
  <si>
    <t>경영컨설팅 및 공공관계 서비스업</t>
  </si>
  <si>
    <t>Activities of Management Consultancy and Public Relation Services</t>
  </si>
  <si>
    <t>71531</t>
  </si>
  <si>
    <t>경영컨설팅업</t>
  </si>
  <si>
    <t>Activities of Management Consultancy</t>
  </si>
  <si>
    <t>71532</t>
  </si>
  <si>
    <t>공공관계 서비스업</t>
  </si>
  <si>
    <t>Public Relation Services</t>
  </si>
  <si>
    <t>72</t>
  </si>
  <si>
    <t>건축기술, 엔지니어링 및 기타 과학기술 서비스업</t>
  </si>
  <si>
    <t>Architectural, Engineering and Other Scientific Technical Services</t>
  </si>
  <si>
    <t>721</t>
  </si>
  <si>
    <t>건축기술, 엔지니어링 및 관련기술 서비스업</t>
  </si>
  <si>
    <t>Architectural, Engineering and Related Technical Services</t>
  </si>
  <si>
    <t>7211</t>
  </si>
  <si>
    <t>건축 및 조경 설계 서비스업</t>
  </si>
  <si>
    <t>Architectural and Landscape Architectural Services</t>
  </si>
  <si>
    <t>72111</t>
  </si>
  <si>
    <t>건축설계 및 관련 서비스업</t>
  </si>
  <si>
    <t>Architectural Services</t>
  </si>
  <si>
    <t>72112</t>
  </si>
  <si>
    <t>도시계획 및 조경설계 서비스업</t>
  </si>
  <si>
    <t>Urban Planning Landscape Architectural Services</t>
  </si>
  <si>
    <t>7212</t>
  </si>
  <si>
    <t>엔지니어링 서비스업</t>
  </si>
  <si>
    <t>Engineering Services</t>
  </si>
  <si>
    <t>72121</t>
  </si>
  <si>
    <t>건물 및 토목엔지니어링 서비스업</t>
  </si>
  <si>
    <t>Civil Engineering Services</t>
  </si>
  <si>
    <t>72122</t>
  </si>
  <si>
    <t>환경컨설팅 및 관련 엔지니어링 서비스업</t>
  </si>
  <si>
    <t>Environmental Consulting and Related Engineering Services</t>
  </si>
  <si>
    <t>72129</t>
  </si>
  <si>
    <t>기타 엔지니어링 서비스업</t>
  </si>
  <si>
    <t>Other Engineering Services</t>
  </si>
  <si>
    <t>729</t>
  </si>
  <si>
    <t>기타 과학기술 서비스업</t>
  </si>
  <si>
    <t>Other Scientific and Technical Services</t>
  </si>
  <si>
    <t>7291</t>
  </si>
  <si>
    <t>기술 시험, 검사 및 분석업</t>
  </si>
  <si>
    <t>Technical Testing and Analysis</t>
  </si>
  <si>
    <t>72911</t>
  </si>
  <si>
    <t>물질성분 검사 및 분석업</t>
  </si>
  <si>
    <t>Testing and Analysis Services of Composition and Purity of Materials</t>
  </si>
  <si>
    <t>72919</t>
  </si>
  <si>
    <t>기타 기술 시험, 검사 및 분석업</t>
  </si>
  <si>
    <t>Other Technical Testing and Analysis</t>
  </si>
  <si>
    <t>7292</t>
  </si>
  <si>
    <t>측량, 지질조사 및 지도제작업</t>
  </si>
  <si>
    <t>Surface Surveying, Geological Services and Cartographing</t>
  </si>
  <si>
    <t>72921</t>
  </si>
  <si>
    <t>측량업</t>
  </si>
  <si>
    <t>Surface Surveying</t>
  </si>
  <si>
    <t>72922</t>
  </si>
  <si>
    <t>제도업</t>
  </si>
  <si>
    <t>Drafting Services</t>
  </si>
  <si>
    <t>72923</t>
  </si>
  <si>
    <t>지질조사 및 탐사업</t>
  </si>
  <si>
    <t>Geological and Prospecting Services</t>
  </si>
  <si>
    <t>72924</t>
  </si>
  <si>
    <t>지도제작업</t>
  </si>
  <si>
    <t>Cartographing</t>
  </si>
  <si>
    <t>73</t>
  </si>
  <si>
    <t>기타 전문, 과학 및 기술 서비스업</t>
  </si>
  <si>
    <t>Professional, Scientific and Technical Services, n.e.c.</t>
  </si>
  <si>
    <t>731</t>
  </si>
  <si>
    <t>수의업</t>
  </si>
  <si>
    <t>Veterinary Activities</t>
  </si>
  <si>
    <t>7310</t>
  </si>
  <si>
    <t>73100</t>
  </si>
  <si>
    <t>732</t>
  </si>
  <si>
    <t>전문디자인업</t>
  </si>
  <si>
    <t>Specialized Design Services</t>
  </si>
  <si>
    <t>7320</t>
  </si>
  <si>
    <t>73201</t>
  </si>
  <si>
    <t>인테리어 디자인업</t>
  </si>
  <si>
    <t>Interior Design Services</t>
  </si>
  <si>
    <t>73202</t>
  </si>
  <si>
    <t>제품 디자인업</t>
  </si>
  <si>
    <t>Products Design Services</t>
  </si>
  <si>
    <t>73203</t>
  </si>
  <si>
    <t>시각 디자인업</t>
  </si>
  <si>
    <t>Graphic Design Services</t>
  </si>
  <si>
    <t>73209</t>
  </si>
  <si>
    <t>기타 전문 디자인업</t>
  </si>
  <si>
    <t>Other Specialized Design Services</t>
  </si>
  <si>
    <t>733</t>
  </si>
  <si>
    <t>사진 촬영 및 처리업</t>
  </si>
  <si>
    <t>Photographic Activities</t>
  </si>
  <si>
    <t>7330</t>
  </si>
  <si>
    <t>73301</t>
  </si>
  <si>
    <t>인물사진 및 행사용비디오 촬영업</t>
  </si>
  <si>
    <t>Portrait Photography and Videotaping of Events Services</t>
  </si>
  <si>
    <t>73302</t>
  </si>
  <si>
    <t>상업용 사진 촬영업</t>
  </si>
  <si>
    <t>Commercial Photography Services</t>
  </si>
  <si>
    <t>73303</t>
  </si>
  <si>
    <t>사진 처리업</t>
  </si>
  <si>
    <t>Photograph Processing</t>
  </si>
  <si>
    <t>739</t>
  </si>
  <si>
    <t>그외 기타 전문, 과학 및 기술 서비스업</t>
  </si>
  <si>
    <t>Other Professional, Scientific and Technical Services n.e.c.</t>
  </si>
  <si>
    <t>7390</t>
  </si>
  <si>
    <t>73901</t>
  </si>
  <si>
    <t>매니저업</t>
  </si>
  <si>
    <t>Managers</t>
  </si>
  <si>
    <t>73902</t>
  </si>
  <si>
    <t>번역 및 통역서비스업</t>
  </si>
  <si>
    <t>Translation and Interpretation Services</t>
  </si>
  <si>
    <t>73903</t>
  </si>
  <si>
    <t>사업 및 무형 재산권 중개업</t>
  </si>
  <si>
    <t>Business and Intangible Rights Brokerages</t>
  </si>
  <si>
    <t>73904</t>
  </si>
  <si>
    <t>물품감정, 계량 및 견본 추출업</t>
  </si>
  <si>
    <t>Appraisal, Weighing and Sampling Services of Goods</t>
  </si>
  <si>
    <t>73909</t>
  </si>
  <si>
    <t>그외 기타 분류안된 전문, 과학 및 기술 서비스업</t>
  </si>
  <si>
    <t>All Other Professional, Scientific and Technical Services n.e.c.</t>
  </si>
  <si>
    <t>74</t>
  </si>
  <si>
    <t>사업시설 관리 및 조경 서비스업</t>
  </si>
  <si>
    <t>Business Facilities Management and Landscape Services</t>
  </si>
  <si>
    <t>741</t>
  </si>
  <si>
    <t>사업시설 유지관리 서비스업</t>
  </si>
  <si>
    <t>Business Facilities Support Management Services</t>
  </si>
  <si>
    <t>7410</t>
  </si>
  <si>
    <t>74100</t>
  </si>
  <si>
    <t>742</t>
  </si>
  <si>
    <t>건물·산업설비 청소 및 방제 서비스업</t>
  </si>
  <si>
    <t>Cleaning and Pest Control Services of Building and Industrial Facilities</t>
  </si>
  <si>
    <t>7421</t>
  </si>
  <si>
    <t>건물 및 산업설비 청소업</t>
  </si>
  <si>
    <t>Cleaning of Building and Industrial Facilities</t>
  </si>
  <si>
    <t>74211</t>
  </si>
  <si>
    <t>건축물 일반 청소업</t>
  </si>
  <si>
    <t>Building General Cleaning Services</t>
  </si>
  <si>
    <t>74212</t>
  </si>
  <si>
    <t>사업시설 및 산업용품 청소업</t>
  </si>
  <si>
    <t>Cleaning of Businessl Facilities and Industrial Supplies</t>
  </si>
  <si>
    <t>7422</t>
  </si>
  <si>
    <t>소독, 구충 및 방제 서비스업</t>
  </si>
  <si>
    <t>Disinfecting, Exterminating and Pest Control Services</t>
  </si>
  <si>
    <t>74220</t>
  </si>
  <si>
    <t>743</t>
  </si>
  <si>
    <t>조경 관리 및 유지 서비스업</t>
  </si>
  <si>
    <t>Landscape Care and Maintenance Sevice Activities</t>
  </si>
  <si>
    <t>7430</t>
  </si>
  <si>
    <t>74300</t>
  </si>
  <si>
    <t>75</t>
  </si>
  <si>
    <t>사업지원 서비스업</t>
  </si>
  <si>
    <t>Business Support Services</t>
  </si>
  <si>
    <t>751</t>
  </si>
  <si>
    <t>인력공급 및 고용알선업</t>
  </si>
  <si>
    <t>Provision of Human Resources and Activities of Employment Placement Agencies</t>
  </si>
  <si>
    <t>7511</t>
  </si>
  <si>
    <t>고용알선업</t>
  </si>
  <si>
    <t>Activities of Employment Placement Agencies</t>
  </si>
  <si>
    <t>75110</t>
  </si>
  <si>
    <t>7512</t>
  </si>
  <si>
    <t>인력공급업</t>
  </si>
  <si>
    <t>Provision of Human Resources</t>
  </si>
  <si>
    <t>75120</t>
  </si>
  <si>
    <t>752</t>
  </si>
  <si>
    <t>여행사 및 기타 여행보조 서비스업</t>
  </si>
  <si>
    <t>Activities of Travel Agencies and Tour Operators and Tourist Assistance Activities</t>
  </si>
  <si>
    <t>7521</t>
  </si>
  <si>
    <t>여행사업</t>
  </si>
  <si>
    <t>Travel Agency Activities</t>
  </si>
  <si>
    <t>75211</t>
  </si>
  <si>
    <t>일반 및 국외 여행사업</t>
  </si>
  <si>
    <t>General and Foreign Travel Agencies</t>
  </si>
  <si>
    <t>75212</t>
  </si>
  <si>
    <t>국내 여행사업</t>
  </si>
  <si>
    <t>Domestic Travel Agencies</t>
  </si>
  <si>
    <t>7529</t>
  </si>
  <si>
    <t>기타 여행보조 및 예약 서비스업</t>
  </si>
  <si>
    <t>Other Tourist Assistance and Reservation Services</t>
  </si>
  <si>
    <t>75290</t>
  </si>
  <si>
    <t>753</t>
  </si>
  <si>
    <t>경비, 경호 및 탐정업</t>
  </si>
  <si>
    <t>Security, Guard and Detective Services</t>
  </si>
  <si>
    <t>7531</t>
  </si>
  <si>
    <t>경비 및 경호 서비스업</t>
  </si>
  <si>
    <t>Security and Guard  Services</t>
  </si>
  <si>
    <t>75310</t>
  </si>
  <si>
    <t>7532</t>
  </si>
  <si>
    <t>보안시스템 서비스업</t>
  </si>
  <si>
    <t>Security Systems Srevice Activities</t>
  </si>
  <si>
    <t>75320</t>
  </si>
  <si>
    <t>7533</t>
  </si>
  <si>
    <t>탐정 및 조사 서비스업</t>
  </si>
  <si>
    <t>Detective and Investigation Services</t>
  </si>
  <si>
    <t>75330</t>
  </si>
  <si>
    <t>759</t>
  </si>
  <si>
    <t>기타 사업지원 서비스업</t>
  </si>
  <si>
    <t>Other Business Support Services</t>
  </si>
  <si>
    <t>7591</t>
  </si>
  <si>
    <t>사무지원 서비스업</t>
  </si>
  <si>
    <t>Office Support Services</t>
  </si>
  <si>
    <t>75911</t>
  </si>
  <si>
    <t>문서 작성업</t>
  </si>
  <si>
    <t>Document Preparation Services</t>
  </si>
  <si>
    <t>75912</t>
  </si>
  <si>
    <t>복사업</t>
  </si>
  <si>
    <t>Duplicating Services</t>
  </si>
  <si>
    <t>75919</t>
  </si>
  <si>
    <t>기타 사무지원 서비스업</t>
  </si>
  <si>
    <t>Other Office Support Service Activities</t>
  </si>
  <si>
    <t>7599</t>
  </si>
  <si>
    <t>그외 기타 사업지원 서비스업</t>
  </si>
  <si>
    <t>Other Business Support Service Activities n.e.c.</t>
  </si>
  <si>
    <t>75991</t>
  </si>
  <si>
    <t>콜센터 및 텔레마케팅 서비스업</t>
  </si>
  <si>
    <t>Activities of Call Centers and Telemarketing Services</t>
  </si>
  <si>
    <t>75992</t>
  </si>
  <si>
    <t>전시 및 행사 대행업</t>
  </si>
  <si>
    <t>Exhibition and Trade Fair Organization Agencies</t>
  </si>
  <si>
    <t>75993</t>
  </si>
  <si>
    <t>신용조사 및 추심 대행업</t>
  </si>
  <si>
    <t>Credit Reporting and Collection Agency Services</t>
  </si>
  <si>
    <t>75994</t>
  </si>
  <si>
    <t>포장 및 충전업</t>
  </si>
  <si>
    <t>Packaging and Filling Activities</t>
  </si>
  <si>
    <t>75999</t>
  </si>
  <si>
    <t>그외 기타 분류안된 사업지원 서비스업</t>
  </si>
  <si>
    <t>All Other Business Support Services n.e.c.</t>
  </si>
  <si>
    <t>84</t>
  </si>
  <si>
    <t>공공행정, 국방 및 사회보장 행정</t>
  </si>
  <si>
    <t>Public Administration and Defence ; Compulsory Social Security</t>
  </si>
  <si>
    <t>841</t>
  </si>
  <si>
    <t>입법 및 일반 정부 행정</t>
  </si>
  <si>
    <t>Executive, Legislative and General Government Support</t>
  </si>
  <si>
    <t>8411</t>
  </si>
  <si>
    <t>일반 공공 행정</t>
  </si>
  <si>
    <t>General Public Service Activities</t>
  </si>
  <si>
    <t>84111</t>
  </si>
  <si>
    <t>입법기관</t>
  </si>
  <si>
    <t>Legislative Administration</t>
  </si>
  <si>
    <t>84112</t>
  </si>
  <si>
    <t>중앙 최고 집행기관</t>
  </si>
  <si>
    <t>National Executive Offices</t>
  </si>
  <si>
    <t>84113</t>
  </si>
  <si>
    <t>지방행정 집행기관</t>
  </si>
  <si>
    <t>Local Executive Offices</t>
  </si>
  <si>
    <t>84114</t>
  </si>
  <si>
    <t>재정 및 경제정책 행정</t>
  </si>
  <si>
    <t>Administration of Financial and Economic Policy</t>
  </si>
  <si>
    <t>84119</t>
  </si>
  <si>
    <t>기타 일반 공공 행정</t>
  </si>
  <si>
    <t>Other General Public Service Activities</t>
  </si>
  <si>
    <t>8412</t>
  </si>
  <si>
    <t>정부기관 일반 보조 행정</t>
  </si>
  <si>
    <t>Ancillary Service Activities for Government</t>
  </si>
  <si>
    <t>84120</t>
  </si>
  <si>
    <t>842</t>
  </si>
  <si>
    <t>사회 및 산업정책 행정</t>
  </si>
  <si>
    <t>Administration of Industrial and Social Policy of Community</t>
  </si>
  <si>
    <t>8421</t>
  </si>
  <si>
    <t>사회서비스 관리 행정</t>
  </si>
  <si>
    <t>Regulation of Activities of Agencies That Provide Health Care, Education, Cultural Services and Other Social Services, Excluding Social Security</t>
  </si>
  <si>
    <t>84211</t>
  </si>
  <si>
    <t>교육 행정</t>
  </si>
  <si>
    <t>Regulation of Activities of Education Affairs</t>
  </si>
  <si>
    <t>84212</t>
  </si>
  <si>
    <t>문화 및 관광 행정</t>
  </si>
  <si>
    <t>Regulation of Activities of Cultural and Tourism Affairs</t>
  </si>
  <si>
    <t>84213</t>
  </si>
  <si>
    <t>환경 행정</t>
  </si>
  <si>
    <t>Regulation of Activities of Environment Affairs</t>
  </si>
  <si>
    <t>84214</t>
  </si>
  <si>
    <t>보건 및 복지 행정</t>
  </si>
  <si>
    <t>Administration of Health Care and Welfare</t>
  </si>
  <si>
    <t>84219</t>
  </si>
  <si>
    <t>기타 사회서비스 관리 행정</t>
  </si>
  <si>
    <t>Other Regulation of Activities of Agencies That Provide Health Care, Education, Cultural Services, Excluding Social Security</t>
  </si>
  <si>
    <t>8422</t>
  </si>
  <si>
    <t>노동 및 산업진흥 행정</t>
  </si>
  <si>
    <t>Regulation of and Contribution to, More Efficient Operation of Business</t>
  </si>
  <si>
    <t>84221</t>
  </si>
  <si>
    <t>노동 행정</t>
  </si>
  <si>
    <t>Administration of General Labor Affairs</t>
  </si>
  <si>
    <t>84222</t>
  </si>
  <si>
    <t>농림수산 행정</t>
  </si>
  <si>
    <t>Administration of Agricultural, Forestry, Fishing and Hunting Affairs</t>
  </si>
  <si>
    <t>84223</t>
  </si>
  <si>
    <t>건설 및 운송 행정</t>
  </si>
  <si>
    <t>Administration of Construction and Transportation Programs</t>
  </si>
  <si>
    <t>84224</t>
  </si>
  <si>
    <t>통신 행정</t>
  </si>
  <si>
    <t>Administration of Communications</t>
  </si>
  <si>
    <t>84229</t>
  </si>
  <si>
    <t>기타 산업진흥 행정</t>
  </si>
  <si>
    <t>Other Regulation and Contribution to More Efficient Operation of Business</t>
  </si>
  <si>
    <t>843</t>
  </si>
  <si>
    <t>외무 및 국방 행정</t>
  </si>
  <si>
    <t>Foreign Affairs and Defence Activities</t>
  </si>
  <si>
    <t>8431</t>
  </si>
  <si>
    <t>외무 행정</t>
  </si>
  <si>
    <t>Foreign Affairs</t>
  </si>
  <si>
    <t>84310</t>
  </si>
  <si>
    <t>8432</t>
  </si>
  <si>
    <t>국방 행정</t>
  </si>
  <si>
    <t>Defence Activities</t>
  </si>
  <si>
    <t>84320</t>
  </si>
  <si>
    <t>844</t>
  </si>
  <si>
    <t>사법 및 공공질서 행정</t>
  </si>
  <si>
    <t>Justice, Public Order and Safety Activities</t>
  </si>
  <si>
    <t>8440</t>
  </si>
  <si>
    <t>84401</t>
  </si>
  <si>
    <t>법원</t>
  </si>
  <si>
    <t>Courts</t>
  </si>
  <si>
    <t>84402</t>
  </si>
  <si>
    <t>검찰</t>
  </si>
  <si>
    <t>Prosecution Services</t>
  </si>
  <si>
    <t>84403</t>
  </si>
  <si>
    <t>교도기관</t>
  </si>
  <si>
    <t>Correctional Institutions</t>
  </si>
  <si>
    <t>84404</t>
  </si>
  <si>
    <t>경찰</t>
  </si>
  <si>
    <t>Police Protection</t>
  </si>
  <si>
    <t>84405</t>
  </si>
  <si>
    <t>소방서</t>
  </si>
  <si>
    <t>Fire Protection</t>
  </si>
  <si>
    <t>84409</t>
  </si>
  <si>
    <t>기타 사법 및 공공질서 행정</t>
  </si>
  <si>
    <t>Other Justice, Public Order and Safety Activities</t>
  </si>
  <si>
    <t>845</t>
  </si>
  <si>
    <t>사회보장 행정</t>
  </si>
  <si>
    <t>Compulsory Social Security Activities</t>
  </si>
  <si>
    <t>8450</t>
  </si>
  <si>
    <t>84500</t>
  </si>
  <si>
    <t>85</t>
  </si>
  <si>
    <t>교육 서비스업</t>
  </si>
  <si>
    <t>Education</t>
  </si>
  <si>
    <t>851</t>
  </si>
  <si>
    <t>초등 교육기관</t>
  </si>
  <si>
    <t>Primary Education</t>
  </si>
  <si>
    <t>8511</t>
  </si>
  <si>
    <t>유아 교육기관</t>
  </si>
  <si>
    <t>Pre-Primary Education</t>
  </si>
  <si>
    <t>85110</t>
  </si>
  <si>
    <t>8512</t>
  </si>
  <si>
    <t>초등학교</t>
  </si>
  <si>
    <t>Primary schools</t>
  </si>
  <si>
    <t>85120</t>
  </si>
  <si>
    <t>852</t>
  </si>
  <si>
    <t>중등 교육기관</t>
  </si>
  <si>
    <t>Secondary Education</t>
  </si>
  <si>
    <t>8521</t>
  </si>
  <si>
    <t>일반 중등 교육기관</t>
  </si>
  <si>
    <t>General Secondary Education</t>
  </si>
  <si>
    <t>85211</t>
  </si>
  <si>
    <t>중학교</t>
  </si>
  <si>
    <t>Junior High schools</t>
  </si>
  <si>
    <t>85212</t>
  </si>
  <si>
    <t>일반 고등학교</t>
  </si>
  <si>
    <t>Senior High schools, General</t>
  </si>
  <si>
    <t>8522</t>
  </si>
  <si>
    <t>기술 및 직업 중등 교육기관</t>
  </si>
  <si>
    <t>Technical and Vocational Secondary Education</t>
  </si>
  <si>
    <t>85221</t>
  </si>
  <si>
    <t>상업 및 정보산업 고등학교</t>
  </si>
  <si>
    <t>Commercial and Information Industry High schools</t>
  </si>
  <si>
    <t>85222</t>
  </si>
  <si>
    <t>공업 고등학교</t>
  </si>
  <si>
    <t>Industrial High schools</t>
  </si>
  <si>
    <t>85229</t>
  </si>
  <si>
    <t>기타 기술 및 직업 고등학교</t>
  </si>
  <si>
    <t>Other Technical and Vocational Secondary Education</t>
  </si>
  <si>
    <t>853</t>
  </si>
  <si>
    <t>고등 교육기관</t>
  </si>
  <si>
    <t>Higher Education</t>
  </si>
  <si>
    <t>8530</t>
  </si>
  <si>
    <t>85301</t>
  </si>
  <si>
    <t>전문대학</t>
  </si>
  <si>
    <t>Junior Technical and Vocational Colleges</t>
  </si>
  <si>
    <t>85302</t>
  </si>
  <si>
    <t>대학교</t>
  </si>
  <si>
    <t>Universities</t>
  </si>
  <si>
    <t>85303</t>
  </si>
  <si>
    <t>대학원</t>
  </si>
  <si>
    <t>Graduate schools</t>
  </si>
  <si>
    <t>854</t>
  </si>
  <si>
    <t>특수학교, 외국인학교 및 대안학교</t>
  </si>
  <si>
    <t>Schools for the Handicapped and Foreigners, Alternative Schools</t>
  </si>
  <si>
    <t>8541</t>
  </si>
  <si>
    <t>특수학교</t>
  </si>
  <si>
    <t>Schools for the Handicapped</t>
  </si>
  <si>
    <t>85410</t>
  </si>
  <si>
    <t>8542</t>
  </si>
  <si>
    <t>외국인 학교</t>
  </si>
  <si>
    <t>Schools for the Foreigners</t>
  </si>
  <si>
    <t>85420</t>
  </si>
  <si>
    <t>8543</t>
  </si>
  <si>
    <t>대안학교</t>
  </si>
  <si>
    <t>Alternative Schools</t>
  </si>
  <si>
    <t>85430</t>
  </si>
  <si>
    <t>855</t>
  </si>
  <si>
    <t>일반 교습 학원</t>
  </si>
  <si>
    <t>General Private Educational Institute</t>
  </si>
  <si>
    <t>8550</t>
  </si>
  <si>
    <t>85501</t>
  </si>
  <si>
    <t>일반 교과 학원</t>
  </si>
  <si>
    <t>General Subject Educational Institute</t>
  </si>
  <si>
    <t>85502</t>
  </si>
  <si>
    <t>외국어학원</t>
  </si>
  <si>
    <t>Foreign Language Schools</t>
  </si>
  <si>
    <t>85503</t>
  </si>
  <si>
    <t>방문 교육 학원</t>
  </si>
  <si>
    <t>Correspondence Education schools</t>
  </si>
  <si>
    <t>85504</t>
  </si>
  <si>
    <t>온라인 교육 학원</t>
  </si>
  <si>
    <t>On-line Education schools</t>
  </si>
  <si>
    <t>85509</t>
  </si>
  <si>
    <t>기타 일반 교습학원</t>
  </si>
  <si>
    <t>Other General Private Educational Institute</t>
  </si>
  <si>
    <t>856</t>
  </si>
  <si>
    <t>기타 교육기관</t>
  </si>
  <si>
    <t>Adult and Other Education</t>
  </si>
  <si>
    <t>8561</t>
  </si>
  <si>
    <t>스포츠 및 레크레이션 교육기관</t>
  </si>
  <si>
    <t>Sports and Recreation Education</t>
  </si>
  <si>
    <t>85611</t>
  </si>
  <si>
    <t>스포츠 교육기관</t>
  </si>
  <si>
    <t>Sports Education</t>
  </si>
  <si>
    <t>85612</t>
  </si>
  <si>
    <t>레크레이션 교육기관</t>
  </si>
  <si>
    <t>Recreation Education</t>
  </si>
  <si>
    <t>8562</t>
  </si>
  <si>
    <t>예술 학원</t>
  </si>
  <si>
    <t>Fine Arts schools</t>
  </si>
  <si>
    <t>85620</t>
  </si>
  <si>
    <t>8563</t>
  </si>
  <si>
    <t>사회교육시설</t>
  </si>
  <si>
    <t>Facilities for Social Education</t>
  </si>
  <si>
    <t>85630</t>
  </si>
  <si>
    <t>8564</t>
  </si>
  <si>
    <t>직원훈련기관</t>
  </si>
  <si>
    <t>Employee Training</t>
  </si>
  <si>
    <t>85640</t>
  </si>
  <si>
    <t>8565</t>
  </si>
  <si>
    <t>기술 및 직업훈련학원</t>
  </si>
  <si>
    <t>Technical and Trade schools</t>
  </si>
  <si>
    <t>85651</t>
  </si>
  <si>
    <t>운전학원</t>
  </si>
  <si>
    <t>Driving schools</t>
  </si>
  <si>
    <t>85659</t>
  </si>
  <si>
    <t>기타 기술 및 직업훈련학원</t>
  </si>
  <si>
    <t>Other Technical and Trade schools</t>
  </si>
  <si>
    <t>8569</t>
  </si>
  <si>
    <t>그외 기타 교육기관</t>
  </si>
  <si>
    <t>Adult and Other Education n.e.c.</t>
  </si>
  <si>
    <t>85691</t>
  </si>
  <si>
    <t>컴퓨터 학원</t>
  </si>
  <si>
    <t>Computer Training Service</t>
  </si>
  <si>
    <t>85699</t>
  </si>
  <si>
    <t>그외 기타 분류안된 교육기관</t>
  </si>
  <si>
    <t>Other Adult and Other Education n.e.c.</t>
  </si>
  <si>
    <t>857</t>
  </si>
  <si>
    <t>교육지원 서비스업</t>
  </si>
  <si>
    <t>Educational Support Activities</t>
  </si>
  <si>
    <t>8570</t>
  </si>
  <si>
    <t>85701</t>
  </si>
  <si>
    <t>교육관련 자문 및 평가업</t>
  </si>
  <si>
    <t>Management Consultancy Activities</t>
  </si>
  <si>
    <t>85709</t>
  </si>
  <si>
    <t>기타 교육지원 서비스업</t>
  </si>
  <si>
    <t>Other Educational Support Activities</t>
  </si>
  <si>
    <t>86</t>
  </si>
  <si>
    <t>보건업</t>
  </si>
  <si>
    <t>Human Health</t>
  </si>
  <si>
    <t>861</t>
  </si>
  <si>
    <t>병원</t>
  </si>
  <si>
    <t>Hospital Activities</t>
  </si>
  <si>
    <t>8610</t>
  </si>
  <si>
    <t>86101</t>
  </si>
  <si>
    <t>종합 병원</t>
  </si>
  <si>
    <t>General Hospitals</t>
  </si>
  <si>
    <t>86102</t>
  </si>
  <si>
    <t>일반 병원</t>
  </si>
  <si>
    <t>Medium Hospitals</t>
  </si>
  <si>
    <t>86103</t>
  </si>
  <si>
    <t>치과 병원</t>
  </si>
  <si>
    <t>Dental Hospitals</t>
  </si>
  <si>
    <t>86104</t>
  </si>
  <si>
    <t>한방 병원</t>
  </si>
  <si>
    <t>Oriental Medical Hospitals</t>
  </si>
  <si>
    <t>862</t>
  </si>
  <si>
    <t>의원</t>
  </si>
  <si>
    <t>Medical and Dental Practice Activities</t>
  </si>
  <si>
    <t>8620</t>
  </si>
  <si>
    <t>86201</t>
  </si>
  <si>
    <t>일반 의원</t>
  </si>
  <si>
    <t>General clinics</t>
  </si>
  <si>
    <t>86202</t>
  </si>
  <si>
    <t>치과 의원</t>
  </si>
  <si>
    <t>Dental Clinics</t>
  </si>
  <si>
    <t>86203</t>
  </si>
  <si>
    <t>한의원</t>
  </si>
  <si>
    <t>Oriental Medical Clinics</t>
  </si>
  <si>
    <t>86204</t>
  </si>
  <si>
    <t>방사선진단 및 병리검사 의원</t>
  </si>
  <si>
    <t>Medical and Diagnostic Clinics</t>
  </si>
  <si>
    <t>863</t>
  </si>
  <si>
    <t>공중 보건 의료업</t>
  </si>
  <si>
    <t>Public Health Centers</t>
  </si>
  <si>
    <t>8630</t>
  </si>
  <si>
    <t>86300</t>
  </si>
  <si>
    <t>869</t>
  </si>
  <si>
    <t>기타 보건업</t>
  </si>
  <si>
    <t>Other Human Health Activities</t>
  </si>
  <si>
    <t>8690</t>
  </si>
  <si>
    <t>86901</t>
  </si>
  <si>
    <t>앰뷸런스 서비스업</t>
  </si>
  <si>
    <t>Ambulance Services</t>
  </si>
  <si>
    <t>86902</t>
  </si>
  <si>
    <t>유사 의료업</t>
  </si>
  <si>
    <t>Para-Medical Services</t>
  </si>
  <si>
    <t>86909</t>
  </si>
  <si>
    <t>그외 기타 보건업</t>
  </si>
  <si>
    <t>Other Human Health Activities n.e.c.</t>
  </si>
  <si>
    <t>87</t>
  </si>
  <si>
    <t>사회복지 서비스업</t>
  </si>
  <si>
    <t>Social Work Activities</t>
  </si>
  <si>
    <t>871</t>
  </si>
  <si>
    <t>거주 복지시설 운영업</t>
  </si>
  <si>
    <t>Residential Welfare Facilities Activities</t>
  </si>
  <si>
    <t>8711</t>
  </si>
  <si>
    <t>노인 거주 복지시설 운영업</t>
  </si>
  <si>
    <t>Residential Welfare Facilities Activities for the Elderly</t>
  </si>
  <si>
    <t>87111</t>
  </si>
  <si>
    <t>노인 요양 복지시설 운영업</t>
  </si>
  <si>
    <t>Nursing Care Welfare Facilities Activities for the Elderly</t>
  </si>
  <si>
    <t>87112</t>
  </si>
  <si>
    <t>노인 양로 복지시설 운영업</t>
  </si>
  <si>
    <t>Welfare Facilities Activities for the Elderly</t>
  </si>
  <si>
    <t>8712</t>
  </si>
  <si>
    <t>심신장애인 거주 복지시설 운영업</t>
  </si>
  <si>
    <t>Residential Welfare Facilities Activities for the Mental Retardation and The Disabled</t>
  </si>
  <si>
    <t>87121</t>
  </si>
  <si>
    <t>신체 부자유자 거주 복지시설 운영업</t>
  </si>
  <si>
    <t>Residential Welfare Facilities Activities for the Disabled</t>
  </si>
  <si>
    <t>87122</t>
  </si>
  <si>
    <t>정신질환, 정신지체 및 약물중독자 거주 복지시설 운영업</t>
  </si>
  <si>
    <t>Residential Welfare Facilities Activities for the Mental Disorder, Mental Retardation and Substance Abuse</t>
  </si>
  <si>
    <t>8713</t>
  </si>
  <si>
    <t>기타 거주 복지시설 운영업</t>
  </si>
  <si>
    <t>Other Residential Welfare Facilities Activities</t>
  </si>
  <si>
    <t>87131</t>
  </si>
  <si>
    <t>아동 및 부녀자 거주 복지시설 운영업</t>
  </si>
  <si>
    <t>Residential Welfare Facilities Activities for the Young and Women</t>
  </si>
  <si>
    <t>87139</t>
  </si>
  <si>
    <t>그외 기타 거주 복지시설 운영업</t>
  </si>
  <si>
    <t>Other Residential Welfare Facilities Activities n.e.c.</t>
  </si>
  <si>
    <t>872</t>
  </si>
  <si>
    <t>비거주 복지시설 운영업</t>
  </si>
  <si>
    <t>Non-Residential Welfare Facilities Activities</t>
  </si>
  <si>
    <t>8721</t>
  </si>
  <si>
    <t>보육시설 운영업</t>
  </si>
  <si>
    <t>Child Day Care Services</t>
  </si>
  <si>
    <t>87210</t>
  </si>
  <si>
    <t>8729</t>
  </si>
  <si>
    <t>기타 비거주 복지 서비스업</t>
  </si>
  <si>
    <t>Other Non-Residential Welfare Facilities Activities</t>
  </si>
  <si>
    <t>87291</t>
  </si>
  <si>
    <t>직업재활원 운영업</t>
  </si>
  <si>
    <t>Vocational Rehabilitations</t>
  </si>
  <si>
    <t>87299</t>
  </si>
  <si>
    <t>그외 기타 비거주 복지 서비스업</t>
  </si>
  <si>
    <t>Other Non-Residential Welfare Facilities Activities  n.e.c.</t>
  </si>
  <si>
    <t>90</t>
  </si>
  <si>
    <t>창작, 예술 및 여가관련 서비스업</t>
  </si>
  <si>
    <t>Creative, Arts and Recreation Related Services</t>
  </si>
  <si>
    <t>901</t>
  </si>
  <si>
    <t>창작 및 예술관련 서비스업</t>
  </si>
  <si>
    <t>Creative and Arts Related Services</t>
  </si>
  <si>
    <t>9011</t>
  </si>
  <si>
    <t>공연시설 운영업</t>
  </si>
  <si>
    <t>Operation of Public Performance Facilities</t>
  </si>
  <si>
    <t>90110</t>
  </si>
  <si>
    <t>9012</t>
  </si>
  <si>
    <t>공연단체</t>
  </si>
  <si>
    <t>Operation of Public Performance Companies</t>
  </si>
  <si>
    <t>90121</t>
  </si>
  <si>
    <t>연극단체</t>
  </si>
  <si>
    <t>Operation of Dramatic Companies</t>
  </si>
  <si>
    <t>90122</t>
  </si>
  <si>
    <t>무용 및 음악단체</t>
  </si>
  <si>
    <t>Musical Groups and Dance Companies</t>
  </si>
  <si>
    <t>90123</t>
  </si>
  <si>
    <t>기타 공연단체</t>
  </si>
  <si>
    <t>Other Performing Arts Companies</t>
  </si>
  <si>
    <t>9013</t>
  </si>
  <si>
    <t>자영 예술가</t>
  </si>
  <si>
    <t>Independent Artists</t>
  </si>
  <si>
    <t>90131</t>
  </si>
  <si>
    <t>공연 예술가</t>
  </si>
  <si>
    <t>Independent Performing Artists</t>
  </si>
  <si>
    <t>90132</t>
  </si>
  <si>
    <t>비공연 예술가</t>
  </si>
  <si>
    <t>Independent Non-Performing Artists</t>
  </si>
  <si>
    <t>9019</t>
  </si>
  <si>
    <t>기타 창작 및 예술관련 서비스업</t>
  </si>
  <si>
    <t>Other Creative and Arts Related Services</t>
  </si>
  <si>
    <t>90191</t>
  </si>
  <si>
    <t>공연 기획업</t>
  </si>
  <si>
    <t>Performing Arts Event Promotion and Organization</t>
  </si>
  <si>
    <t>90192</t>
  </si>
  <si>
    <t>공연 및 제작관련 대리업</t>
  </si>
  <si>
    <t>Public Performance and Production Agencies</t>
  </si>
  <si>
    <t>90199</t>
  </si>
  <si>
    <t>그외 기타 창작 및 예술관련 서비스업</t>
  </si>
  <si>
    <t>Other Creative and Arts Related Services n.e.c.</t>
  </si>
  <si>
    <t>902</t>
  </si>
  <si>
    <t>도서관, 사적지 및 유사 여가관련 서비스업</t>
  </si>
  <si>
    <t>Library, Historical Sites and Buildings and Similar Recreation Related Services</t>
  </si>
  <si>
    <t>9021</t>
  </si>
  <si>
    <t>도서관, 기록보존소 및 독서실 운영업</t>
  </si>
  <si>
    <t>Operation of Library, Archives and Reading Room</t>
  </si>
  <si>
    <t>90211</t>
  </si>
  <si>
    <t>도서관 및 기록보존소 운영업</t>
  </si>
  <si>
    <t>Library and Archives Activities</t>
  </si>
  <si>
    <t>90212</t>
  </si>
  <si>
    <t>독서실 운영업</t>
  </si>
  <si>
    <t>Reading Room Operation</t>
  </si>
  <si>
    <t>9022</t>
  </si>
  <si>
    <t>박물관 및 사적지 관리 운영업</t>
  </si>
  <si>
    <t>Museum Operation and Preservation of Historical Sites and Buildings</t>
  </si>
  <si>
    <t>90221</t>
  </si>
  <si>
    <t>박물관 운영업</t>
  </si>
  <si>
    <t>Museum Operation</t>
  </si>
  <si>
    <t>90222</t>
  </si>
  <si>
    <t>사적지 관리 운영업</t>
  </si>
  <si>
    <t>Historic House and Site Operation</t>
  </si>
  <si>
    <t>9023</t>
  </si>
  <si>
    <t>식물원, 동물원 및 자연공원 운영업</t>
  </si>
  <si>
    <t>Operation of Botanical and Zoological Gardens and Natural Parks</t>
  </si>
  <si>
    <t>90231</t>
  </si>
  <si>
    <t>식물원 및 동물원 운영업</t>
  </si>
  <si>
    <t>Operation of Botanical and Zoological Gardens</t>
  </si>
  <si>
    <t>90232</t>
  </si>
  <si>
    <t>자연공원 운영업</t>
  </si>
  <si>
    <t>Operation of Natural Parks</t>
  </si>
  <si>
    <t>9029</t>
  </si>
  <si>
    <t>기타 도서관, 사적지 및 유사 여가관련 서비스업</t>
  </si>
  <si>
    <t>Other Library, Historical Sites and Buildings and Similar Recreation Related Services</t>
  </si>
  <si>
    <t>90290</t>
  </si>
  <si>
    <t>91</t>
  </si>
  <si>
    <t>스포츠 및 오락관련 서비스업</t>
  </si>
  <si>
    <t>Sports activities and amusement activities</t>
  </si>
  <si>
    <t>911</t>
  </si>
  <si>
    <t>스포츠 서비스업</t>
  </si>
  <si>
    <t>Sports Services</t>
  </si>
  <si>
    <t>9111</t>
  </si>
  <si>
    <t>경기장 운영업</t>
  </si>
  <si>
    <t>Arena and Stadium Operation</t>
  </si>
  <si>
    <t>91111</t>
  </si>
  <si>
    <t>실내 경기장 운영업</t>
  </si>
  <si>
    <t>Indoor Stadium Operation</t>
  </si>
  <si>
    <t>91112</t>
  </si>
  <si>
    <t>실외 경기장 운영업</t>
  </si>
  <si>
    <t>Outdoor Stadium Operation</t>
  </si>
  <si>
    <t>91113</t>
  </si>
  <si>
    <t>경주장 운영업</t>
  </si>
  <si>
    <t>Racetrack Operation</t>
  </si>
  <si>
    <t>9112</t>
  </si>
  <si>
    <t>골프장 및 스키장 운영업</t>
  </si>
  <si>
    <t>Golf Courses and Skiing Facilities</t>
  </si>
  <si>
    <t>91121</t>
  </si>
  <si>
    <t>골프장 운영업</t>
  </si>
  <si>
    <t>Golf Course Operation</t>
  </si>
  <si>
    <t>91122</t>
  </si>
  <si>
    <t>스키장 운영업</t>
  </si>
  <si>
    <t>Skiing Facility Operation</t>
  </si>
  <si>
    <t>9113</t>
  </si>
  <si>
    <t>기타 스포츠시설 운영업</t>
  </si>
  <si>
    <t>Other Sports Facility Operation</t>
  </si>
  <si>
    <t>91131</t>
  </si>
  <si>
    <t>종합 스포츠시설 운영업</t>
  </si>
  <si>
    <t>Other Complex Sports Facility Operation</t>
  </si>
  <si>
    <t>91132</t>
  </si>
  <si>
    <t>체력단련시설 운영업</t>
  </si>
  <si>
    <t>Physical Fitness Facility Operation</t>
  </si>
  <si>
    <t>91133</t>
  </si>
  <si>
    <t>수영장 운영업</t>
  </si>
  <si>
    <t>Swimming Pool Operation</t>
  </si>
  <si>
    <t>91134</t>
  </si>
  <si>
    <t>볼링장 운영업</t>
  </si>
  <si>
    <t>Bowling Alley Operation</t>
  </si>
  <si>
    <t>91135</t>
  </si>
  <si>
    <t>당구장 운영업</t>
  </si>
  <si>
    <t>Billiard Room Operation</t>
  </si>
  <si>
    <t>91136</t>
  </si>
  <si>
    <t>골프연습장 운영업</t>
  </si>
  <si>
    <t>Golf Practice Range Operation</t>
  </si>
  <si>
    <t>91139</t>
  </si>
  <si>
    <t>그외 기타 스포츠시설 운영업</t>
  </si>
  <si>
    <t>Other Sports Facility Operation n.e.c.</t>
  </si>
  <si>
    <t>9119</t>
  </si>
  <si>
    <t>기타 스포츠 서비스업</t>
  </si>
  <si>
    <t>Other Sports Services</t>
  </si>
  <si>
    <t>91191</t>
  </si>
  <si>
    <t>스포츠 클럽 운영업</t>
  </si>
  <si>
    <t>Sports Club Operation</t>
  </si>
  <si>
    <t>91199</t>
  </si>
  <si>
    <t>그외 기타 스포츠 서비스업</t>
  </si>
  <si>
    <t>Other Sports Services n.e.c.</t>
  </si>
  <si>
    <t>912</t>
  </si>
  <si>
    <t>유원지 및 기타 오락관련 서비스업</t>
  </si>
  <si>
    <t>Amusement and theme Park Operation</t>
  </si>
  <si>
    <t>9121</t>
  </si>
  <si>
    <t>유원지 및 테마파크 운영업</t>
  </si>
  <si>
    <t>91210</t>
  </si>
  <si>
    <t>9122</t>
  </si>
  <si>
    <t>오락장 운영업</t>
  </si>
  <si>
    <t>Entertainment Facility Operation</t>
  </si>
  <si>
    <t>91221</t>
  </si>
  <si>
    <t>전자 게임장 운영업</t>
  </si>
  <si>
    <t>Amusement Arcade Operation</t>
  </si>
  <si>
    <t>91222</t>
  </si>
  <si>
    <t>컴퓨터 게임방 운영업</t>
  </si>
  <si>
    <t>Computer Game Room Operation</t>
  </si>
  <si>
    <t>91223</t>
  </si>
  <si>
    <t>노래연습장 운영업</t>
  </si>
  <si>
    <t>Singing Room Operation</t>
  </si>
  <si>
    <t>91229</t>
  </si>
  <si>
    <t>기타 오락장 운영업</t>
  </si>
  <si>
    <t>Other Entertainment Facility Operation</t>
  </si>
  <si>
    <t>9123</t>
  </si>
  <si>
    <t>수상오락 서비스업</t>
  </si>
  <si>
    <t>Water Recreation Services</t>
  </si>
  <si>
    <t>91231</t>
  </si>
  <si>
    <t>낚시장 운영업</t>
  </si>
  <si>
    <t>Operation of Indoor and Outdoor Fishing Place</t>
  </si>
  <si>
    <t>91239</t>
  </si>
  <si>
    <t>기타 수상오락 서비스업</t>
  </si>
  <si>
    <t>Other Water Recreation Services</t>
  </si>
  <si>
    <t>9124</t>
  </si>
  <si>
    <t>갬블링 및 베팅업</t>
  </si>
  <si>
    <t>Gambling and Betting Activities</t>
  </si>
  <si>
    <t>91241</t>
  </si>
  <si>
    <t>복권발행 및 판매업</t>
  </si>
  <si>
    <t>Publication and Sale of Lottery</t>
  </si>
  <si>
    <t>91249</t>
  </si>
  <si>
    <t>기타 갬블링 및 베팅업</t>
  </si>
  <si>
    <t>Other Gambling and Betting Activities</t>
  </si>
  <si>
    <t>9129</t>
  </si>
  <si>
    <t>그외 기타 오락관련 서비스업</t>
  </si>
  <si>
    <t>Other Water Recreation Services n.e.c.</t>
  </si>
  <si>
    <t>91291</t>
  </si>
  <si>
    <t>무도장 운영업</t>
  </si>
  <si>
    <t>Ballroom Operation</t>
  </si>
  <si>
    <t>91292</t>
  </si>
  <si>
    <t>체육공원 및 유사 공원 운영업</t>
  </si>
  <si>
    <t>Operation of Recreational and Sports Park Including Similar Activities</t>
  </si>
  <si>
    <t>91293</t>
  </si>
  <si>
    <t>기원 운영업</t>
  </si>
  <si>
    <t>Badug Room Operation</t>
  </si>
  <si>
    <t>91299</t>
  </si>
  <si>
    <t>그외 기타 분류안된 오락관련 서비스업</t>
  </si>
  <si>
    <t>94</t>
  </si>
  <si>
    <t>협회 및 단체</t>
  </si>
  <si>
    <t>Membership Organizations and Community</t>
  </si>
  <si>
    <t>941</t>
  </si>
  <si>
    <t>산업 및 전문가 단체</t>
  </si>
  <si>
    <t>Business and Professional Organizations</t>
  </si>
  <si>
    <t>9411</t>
  </si>
  <si>
    <t>산업 단체</t>
  </si>
  <si>
    <t>Business Organizations</t>
  </si>
  <si>
    <t>94110</t>
  </si>
  <si>
    <t>9412</t>
  </si>
  <si>
    <t>전문가 단체</t>
  </si>
  <si>
    <t>Professional Organizations</t>
  </si>
  <si>
    <t>94120</t>
  </si>
  <si>
    <t>942</t>
  </si>
  <si>
    <t>노동조합</t>
  </si>
  <si>
    <t>Labour Organizations</t>
  </si>
  <si>
    <t>9420</t>
  </si>
  <si>
    <t>94200</t>
  </si>
  <si>
    <t>949</t>
  </si>
  <si>
    <t>기타 협회 및 단체</t>
  </si>
  <si>
    <t>Other Membership Organizations and Community</t>
  </si>
  <si>
    <t>9491</t>
  </si>
  <si>
    <t>종교 단체</t>
  </si>
  <si>
    <t>Religious Organizations</t>
  </si>
  <si>
    <t>94911</t>
  </si>
  <si>
    <t>불교 단체</t>
  </si>
  <si>
    <t>Buddhism Organizations</t>
  </si>
  <si>
    <t>94912</t>
  </si>
  <si>
    <t>기독교 단체</t>
  </si>
  <si>
    <t>Christianity Organizations</t>
  </si>
  <si>
    <t>94913</t>
  </si>
  <si>
    <t>천주교 단체</t>
  </si>
  <si>
    <t>Catholicism Organizations</t>
  </si>
  <si>
    <t>94914</t>
  </si>
  <si>
    <t>민족종교 단체</t>
  </si>
  <si>
    <t>Korean Religious Organizations</t>
  </si>
  <si>
    <t>94919</t>
  </si>
  <si>
    <t>기타 종교 단체</t>
  </si>
  <si>
    <t>Other Religious Organizations</t>
  </si>
  <si>
    <t>9492</t>
  </si>
  <si>
    <t>정치 단체</t>
  </si>
  <si>
    <t>Political Organizations</t>
  </si>
  <si>
    <t>94920</t>
  </si>
  <si>
    <t>9493</t>
  </si>
  <si>
    <t>시민운동 단체</t>
  </si>
  <si>
    <t>Social Advocacy Organizations</t>
  </si>
  <si>
    <t>94931</t>
  </si>
  <si>
    <t>환경운동 단체</t>
  </si>
  <si>
    <t>Environmental Advocacy Organizations</t>
  </si>
  <si>
    <t>94939</t>
  </si>
  <si>
    <t>기타 시민운동 단체</t>
  </si>
  <si>
    <t>Other Social Advocacy Organizations</t>
  </si>
  <si>
    <t>9499</t>
  </si>
  <si>
    <t>그외 기타 협회 및 단체</t>
  </si>
  <si>
    <t>94990</t>
  </si>
  <si>
    <t>Other Membership Organizations and Community n.e.c.</t>
  </si>
  <si>
    <t>95</t>
  </si>
  <si>
    <t>수리업</t>
  </si>
  <si>
    <t>Maintenance and Repair Services</t>
  </si>
  <si>
    <t>951</t>
  </si>
  <si>
    <t>기계 및 장비 수리업</t>
  </si>
  <si>
    <t>Maintenance and Repair Services of Machinery and Equipment</t>
  </si>
  <si>
    <t>9511</t>
  </si>
  <si>
    <t>일반 기계 수리업</t>
  </si>
  <si>
    <t>Maintenance and Repair Services of General Machinery</t>
  </si>
  <si>
    <t>95111</t>
  </si>
  <si>
    <t>건설·광업용 기계 및 장비 수리업</t>
  </si>
  <si>
    <t>Maintenance and Repair Services of Machinery and Equipment for Mining and Construction</t>
  </si>
  <si>
    <t>95119</t>
  </si>
  <si>
    <t>기타 일반 기계 및 장비 수리업</t>
  </si>
  <si>
    <t>Other Maintenance and Repair Services of General Machinery</t>
  </si>
  <si>
    <t>9512</t>
  </si>
  <si>
    <t>전기, 전자, 통신 및 정밀기기 수리업</t>
  </si>
  <si>
    <t>Maintenance and Repair Services of Machinery and Equipment for Electric, Electronic, Communication and Precision</t>
  </si>
  <si>
    <t>95121</t>
  </si>
  <si>
    <t>컴퓨터 및 사무용 기기 수리업</t>
  </si>
  <si>
    <t>Maintenance and Repair Services of Computers and Office Machinery</t>
  </si>
  <si>
    <t>95122</t>
  </si>
  <si>
    <t>통신장비 수리업</t>
  </si>
  <si>
    <t>Maintenance and Repair Services of Communication Machinery</t>
  </si>
  <si>
    <t>95123</t>
  </si>
  <si>
    <t>전기 및 정밀기기 수리업</t>
  </si>
  <si>
    <t>Maintenance and Repair Services of Electric and Precision Equipment</t>
  </si>
  <si>
    <t>952</t>
  </si>
  <si>
    <t>자동차 및 모터사이클 수리업</t>
  </si>
  <si>
    <t>Maintenance and Repair Services of Motor Vehicles and Motorcycles</t>
  </si>
  <si>
    <t>9521</t>
  </si>
  <si>
    <t>자동차 수리 및 세차업</t>
  </si>
  <si>
    <t>Maintenance, Repair  and Washing Services of Motor Vehicles</t>
  </si>
  <si>
    <t>95211</t>
  </si>
  <si>
    <t>자동차 종합 수리업</t>
  </si>
  <si>
    <t>General Repair Services of Motor Vehicles</t>
  </si>
  <si>
    <t>95212</t>
  </si>
  <si>
    <t>자동차 전문 수리업</t>
  </si>
  <si>
    <t>Repair Services of Motor Vehicles Specializing in Parts</t>
  </si>
  <si>
    <t>95213</t>
  </si>
  <si>
    <t>자동차 세차업</t>
  </si>
  <si>
    <t>Motor Vehicle Cleaning Services</t>
  </si>
  <si>
    <t>9522</t>
  </si>
  <si>
    <t>모터사이클 수리업</t>
  </si>
  <si>
    <t>Maintenance and Repair Services of Motorcycles</t>
  </si>
  <si>
    <t>95220</t>
  </si>
  <si>
    <t>Repair Services of Motorcycles</t>
  </si>
  <si>
    <t>953</t>
  </si>
  <si>
    <t>개인 및 가정용품 수리업</t>
  </si>
  <si>
    <t>Repair Services of Personal and Household Goods</t>
  </si>
  <si>
    <t>9531</t>
  </si>
  <si>
    <t>가전제품 수리업</t>
  </si>
  <si>
    <t>Repair Services of Electrical Household Machinery and Appliances</t>
  </si>
  <si>
    <t>95310</t>
  </si>
  <si>
    <t>9539</t>
  </si>
  <si>
    <t>기타 개인 및 가정용품 수리업</t>
  </si>
  <si>
    <t>Repair Services of Other Personal and Household Goods</t>
  </si>
  <si>
    <t>95391</t>
  </si>
  <si>
    <t>신발, 의복 및 기타 가정용 직물제품 수리업</t>
  </si>
  <si>
    <t>Repair Services of Footwear, Clothing and Other Household Textile Goods</t>
  </si>
  <si>
    <t>95392</t>
  </si>
  <si>
    <t>시계, 귀금속 및 악기 수리업</t>
  </si>
  <si>
    <t>Repair Services of Watches and Jewellery</t>
  </si>
  <si>
    <t>95399</t>
  </si>
  <si>
    <t>그외 기타 개인 및 가정용품 수리업</t>
  </si>
  <si>
    <t>Repair Services of Other Personal and Household Goods n.e.c.</t>
  </si>
  <si>
    <t>96</t>
  </si>
  <si>
    <t>기타 개인 서비스업</t>
  </si>
  <si>
    <t>Other Personal Services Activities</t>
  </si>
  <si>
    <t>961</t>
  </si>
  <si>
    <t>미용, 욕탕 및 유사 서비스업</t>
  </si>
  <si>
    <t>Personal Care Services</t>
  </si>
  <si>
    <t>9611</t>
  </si>
  <si>
    <t>이용 및 미용업</t>
  </si>
  <si>
    <t>Hairs, Nails and Skin Cares</t>
  </si>
  <si>
    <t>96111</t>
  </si>
  <si>
    <t>이용업</t>
  </si>
  <si>
    <t>Barber Shops</t>
  </si>
  <si>
    <t>96112</t>
  </si>
  <si>
    <t>두발미용업</t>
  </si>
  <si>
    <t>Hair Beauty Shops</t>
  </si>
  <si>
    <t>96113</t>
  </si>
  <si>
    <t>피부미용업</t>
  </si>
  <si>
    <t>Skin Beauty Shops</t>
  </si>
  <si>
    <t>96119</t>
  </si>
  <si>
    <t>기타미용업</t>
  </si>
  <si>
    <t>Other Beauty Shops</t>
  </si>
  <si>
    <t>9612</t>
  </si>
  <si>
    <t>욕탕, 마사지 및 기타 미용관련 서비스업</t>
  </si>
  <si>
    <t>Saunas, Massages and Other Physical Well-being Services</t>
  </si>
  <si>
    <t>96121</t>
  </si>
  <si>
    <t>욕탕업</t>
  </si>
  <si>
    <t>Saunas</t>
  </si>
  <si>
    <t>96122</t>
  </si>
  <si>
    <t>마사지업</t>
  </si>
  <si>
    <t>Massage Parlors</t>
  </si>
  <si>
    <t>96129</t>
  </si>
  <si>
    <t>기타 미용관련 서비스업</t>
  </si>
  <si>
    <t>Other Physical Well-being Services</t>
  </si>
  <si>
    <t>969</t>
  </si>
  <si>
    <t>그외 기타 개인 서비스업</t>
  </si>
  <si>
    <t>Other Personnal Service Activities n.e.c.</t>
  </si>
  <si>
    <t>9691</t>
  </si>
  <si>
    <t>세탁업</t>
  </si>
  <si>
    <t>Washing and Dry Cleaning Services</t>
  </si>
  <si>
    <t>96911</t>
  </si>
  <si>
    <t>산업용 세탁업</t>
  </si>
  <si>
    <t>Industrial Laundry Services</t>
  </si>
  <si>
    <t>96912</t>
  </si>
  <si>
    <t>가정용 세탁업</t>
  </si>
  <si>
    <t>Household Laundry Services</t>
  </si>
  <si>
    <t>96913</t>
  </si>
  <si>
    <t>세탁물 공급업</t>
  </si>
  <si>
    <t>Laundry Supplies</t>
  </si>
  <si>
    <t>9692</t>
  </si>
  <si>
    <t>장례식장 및 관련 서비스업</t>
  </si>
  <si>
    <t>Funeral Homes and Related Services</t>
  </si>
  <si>
    <t>96921</t>
  </si>
  <si>
    <t>장례식장 및 장의관련 서비스업</t>
  </si>
  <si>
    <t>Funeral Homes and Funeral Related Services</t>
  </si>
  <si>
    <t>96922</t>
  </si>
  <si>
    <t>화장, 묘지분양 및 관리업</t>
  </si>
  <si>
    <t>Cremation, Graveyard Subdivision and Management</t>
  </si>
  <si>
    <t>9699</t>
  </si>
  <si>
    <t>그외 기타 분류안된 개인 서비스업</t>
  </si>
  <si>
    <t>All Other Personnal Service Activities n.e.c.</t>
  </si>
  <si>
    <t>96991</t>
  </si>
  <si>
    <t>예식장업</t>
  </si>
  <si>
    <t>Wedding Chapel Services</t>
  </si>
  <si>
    <t>96992</t>
  </si>
  <si>
    <t>점술 및 유사 서비스업</t>
  </si>
  <si>
    <t>Fortune-Telling and the Similar Services</t>
  </si>
  <si>
    <t>96993</t>
  </si>
  <si>
    <t>개인 간병인 및 유사 서비스업</t>
  </si>
  <si>
    <t>Private Nursing and Similar Services</t>
  </si>
  <si>
    <t>96994</t>
  </si>
  <si>
    <t>맞선주선 및 결혼 상담업</t>
  </si>
  <si>
    <t>Marriage Meeting Agency and Marriage Consultation</t>
  </si>
  <si>
    <t>96995</t>
  </si>
  <si>
    <t>애완동물 장묘 및 보호 서비스업</t>
  </si>
  <si>
    <t>Pet Funeral and Care Services</t>
  </si>
  <si>
    <t>96999</t>
  </si>
  <si>
    <t>그외 기타 달리 분류되지 않은 개인 서비스업</t>
  </si>
  <si>
    <t>97</t>
  </si>
  <si>
    <t>가구내 고용활동</t>
  </si>
  <si>
    <t>Private Households with Employed Persons</t>
  </si>
  <si>
    <t>970</t>
  </si>
  <si>
    <t>9700</t>
  </si>
  <si>
    <t>97000</t>
  </si>
  <si>
    <t>98</t>
  </si>
  <si>
    <t>달리 분류되지 않은 자가소비를 위한 가구의 재화 및 서비스 생산활동</t>
  </si>
  <si>
    <t>Undifferentiated goods- and services-producing activities of private households</t>
  </si>
  <si>
    <t>981</t>
  </si>
  <si>
    <t>자가 소비를 위한 가사 생산 활동</t>
  </si>
  <si>
    <t>Undifferentiated goods-producing activities of private households</t>
  </si>
  <si>
    <t>9810</t>
  </si>
  <si>
    <t>98100</t>
  </si>
  <si>
    <t>982</t>
  </si>
  <si>
    <t>자가 소비를 위한 가사 서비스 활동</t>
  </si>
  <si>
    <t>Undifferentiated services-producing activities of private households</t>
  </si>
  <si>
    <t>9820</t>
  </si>
  <si>
    <t>98200</t>
  </si>
  <si>
    <t>99</t>
  </si>
  <si>
    <t>국제 및 외국기관</t>
  </si>
  <si>
    <t>Extra-Territorial Organizations and Bodies</t>
  </si>
  <si>
    <t>990</t>
  </si>
  <si>
    <t>9900</t>
  </si>
  <si>
    <t>99001</t>
  </si>
  <si>
    <t>주한 외국공관</t>
  </si>
  <si>
    <t>Foreign Embassies</t>
  </si>
  <si>
    <t>99009</t>
  </si>
  <si>
    <t>기타 국제 및 외국기관</t>
  </si>
  <si>
    <t>Other Extra-Territorial Organizations and Bodies n.e.c.</t>
  </si>
  <si>
    <t>재무비율</t>
    <phoneticPr fontId="12" type="noConversion"/>
  </si>
  <si>
    <t>회사명</t>
    <phoneticPr fontId="12" type="noConversion"/>
  </si>
  <si>
    <t>재무상태표, 유동/비유동법-별도재무제표</t>
    <phoneticPr fontId="12" type="noConversion"/>
  </si>
  <si>
    <t>항목코드</t>
  </si>
  <si>
    <t>항목명</t>
  </si>
  <si>
    <t>종목코드</t>
    <phoneticPr fontId="12" type="noConversion"/>
  </si>
  <si>
    <t>[008250]</t>
  </si>
  <si>
    <t>이건산업</t>
  </si>
  <si>
    <t>재무비율</t>
    <phoneticPr fontId="12" type="noConversion"/>
  </si>
  <si>
    <t>유동비율</t>
    <phoneticPr fontId="12" type="noConversion"/>
  </si>
  <si>
    <t>부채비율</t>
    <phoneticPr fontId="12" type="noConversion"/>
  </si>
  <si>
    <t>총자산증가율</t>
    <phoneticPr fontId="12" type="noConversion"/>
  </si>
  <si>
    <t>유동자산증가율</t>
    <phoneticPr fontId="12" type="noConversion"/>
  </si>
  <si>
    <t>비유동자산증가율</t>
    <phoneticPr fontId="12" type="noConversion"/>
  </si>
  <si>
    <t>유동부채증가율</t>
    <phoneticPr fontId="12" type="noConversion"/>
  </si>
  <si>
    <t>비유동부채증가율</t>
    <phoneticPr fontId="12" type="noConversion"/>
  </si>
  <si>
    <t>자본증가율</t>
    <phoneticPr fontId="12" type="noConversion"/>
  </si>
  <si>
    <t>재무제표 종류</t>
    <phoneticPr fontId="12" type="noConversion"/>
  </si>
  <si>
    <t>시트명</t>
    <phoneticPr fontId="12" type="noConversion"/>
  </si>
  <si>
    <t>D210005</t>
  </si>
  <si>
    <t>D210000</t>
  </si>
  <si>
    <t>D220005</t>
    <phoneticPr fontId="12" type="noConversion"/>
  </si>
  <si>
    <t>D310005</t>
  </si>
  <si>
    <t>D320005</t>
  </si>
  <si>
    <t>포괄손익계산서, 기능별 분류(세후기타포괄손익) - 별도재무제표</t>
  </si>
  <si>
    <t>당기</t>
    <phoneticPr fontId="12" type="noConversion"/>
  </si>
  <si>
    <t xml:space="preserve">매출원가율 </t>
    <phoneticPr fontId="12" type="noConversion"/>
  </si>
  <si>
    <t>매출총이익율</t>
    <phoneticPr fontId="12" type="noConversion"/>
  </si>
  <si>
    <t>판매비와관리비율</t>
    <phoneticPr fontId="12" type="noConversion"/>
  </si>
  <si>
    <t>영업이익율</t>
    <phoneticPr fontId="12" type="noConversion"/>
  </si>
  <si>
    <t>당기순이익율</t>
    <phoneticPr fontId="12" type="noConversion"/>
  </si>
  <si>
    <t>D431415</t>
  </si>
  <si>
    <t>[002820]</t>
  </si>
  <si>
    <t>선창산업</t>
  </si>
  <si>
    <t>[025750]</t>
  </si>
  <si>
    <t>한솔홈데코</t>
  </si>
  <si>
    <t>[025900]</t>
  </si>
  <si>
    <t>동화기업</t>
  </si>
  <si>
    <t>종목코드</t>
  </si>
  <si>
    <t>회사명</t>
  </si>
  <si>
    <t>[030270]</t>
  </si>
  <si>
    <t>[114190]</t>
  </si>
  <si>
    <t>[000860]</t>
  </si>
  <si>
    <t>[003060]</t>
  </si>
  <si>
    <t>[001390]</t>
  </si>
  <si>
    <t>KG케미칼</t>
  </si>
  <si>
    <t>[002100]</t>
  </si>
  <si>
    <t>경농</t>
  </si>
  <si>
    <t>[009450]</t>
  </si>
  <si>
    <t>경동나비엔</t>
  </si>
  <si>
    <t>[011040]</t>
  </si>
  <si>
    <t>경동제약</t>
  </si>
  <si>
    <t>[000050]</t>
  </si>
  <si>
    <t>경방</t>
  </si>
  <si>
    <t>[214390]</t>
  </si>
  <si>
    <t>경보제약</t>
  </si>
  <si>
    <t>[025880]</t>
  </si>
  <si>
    <t>케이씨피드</t>
  </si>
  <si>
    <t>[012610]</t>
  </si>
  <si>
    <t>경인양행</t>
  </si>
  <si>
    <t>[009140]</t>
  </si>
  <si>
    <t>경인전자</t>
  </si>
  <si>
    <t>[024910]</t>
  </si>
  <si>
    <t>경창산업</t>
  </si>
  <si>
    <t>[013580]</t>
  </si>
  <si>
    <t>계룡건설산업</t>
  </si>
  <si>
    <t>[012200]</t>
  </si>
  <si>
    <t>계양전기</t>
  </si>
  <si>
    <t>[004200]</t>
  </si>
  <si>
    <t>고려개발</t>
  </si>
  <si>
    <t>[002140]</t>
  </si>
  <si>
    <t>고려산업</t>
  </si>
  <si>
    <t>[010130]</t>
  </si>
  <si>
    <t>고려아연</t>
  </si>
  <si>
    <t>[002240]</t>
  </si>
  <si>
    <t>고려제강</t>
  </si>
  <si>
    <t>[014570]</t>
  </si>
  <si>
    <t>고려제약</t>
  </si>
  <si>
    <t>[009070]</t>
  </si>
  <si>
    <t>케이씨티시</t>
  </si>
  <si>
    <t>[009810]</t>
  </si>
  <si>
    <t>[023800]</t>
  </si>
  <si>
    <t>인지컨트롤스</t>
  </si>
  <si>
    <t>[018620]</t>
  </si>
  <si>
    <t>우진비앤지</t>
  </si>
  <si>
    <t>[009290]</t>
  </si>
  <si>
    <t>광동제약</t>
  </si>
  <si>
    <t>[010420]</t>
  </si>
  <si>
    <t>한솔피엔에스</t>
  </si>
  <si>
    <t>[014200]</t>
  </si>
  <si>
    <t>광림</t>
  </si>
  <si>
    <t>[042370]</t>
  </si>
  <si>
    <t>비츠로테크</t>
  </si>
  <si>
    <t>[017040]</t>
  </si>
  <si>
    <t>광명전기</t>
  </si>
  <si>
    <t>[026910]</t>
  </si>
  <si>
    <t>광진실업</t>
  </si>
  <si>
    <t>[007690]</t>
  </si>
  <si>
    <t>국도화학</t>
  </si>
  <si>
    <t>[001140]</t>
  </si>
  <si>
    <t>국보</t>
  </si>
  <si>
    <t>[006050]</t>
  </si>
  <si>
    <t>국영지앤엠</t>
  </si>
  <si>
    <t>[078130]</t>
  </si>
  <si>
    <t>국일제지</t>
  </si>
  <si>
    <t>[000680]</t>
  </si>
  <si>
    <t>LS네트웍스</t>
  </si>
  <si>
    <t>[002720]</t>
  </si>
  <si>
    <t>[000500]</t>
  </si>
  <si>
    <t>가온전선</t>
  </si>
  <si>
    <t>[007120]</t>
  </si>
  <si>
    <t>미래아이앤지</t>
  </si>
  <si>
    <t>[007720]</t>
  </si>
  <si>
    <t>[008600]</t>
  </si>
  <si>
    <t>윌비스</t>
  </si>
  <si>
    <t>[012340]</t>
  </si>
  <si>
    <t>뉴인텍</t>
  </si>
  <si>
    <t>[015360]</t>
  </si>
  <si>
    <t>[033540]</t>
  </si>
  <si>
    <t>파라텍</t>
  </si>
  <si>
    <t>[014530]</t>
  </si>
  <si>
    <t>극동유화</t>
  </si>
  <si>
    <t>[002380]</t>
  </si>
  <si>
    <t>케이씨씨</t>
  </si>
  <si>
    <t>[005440]</t>
  </si>
  <si>
    <t>현대그린푸드</t>
  </si>
  <si>
    <t>[014280]</t>
  </si>
  <si>
    <t>금강공업</t>
  </si>
  <si>
    <t>[021320]</t>
  </si>
  <si>
    <t>KCC건설</t>
  </si>
  <si>
    <t>[053260]</t>
  </si>
  <si>
    <t>금강철강</t>
  </si>
  <si>
    <t>[010120]</t>
  </si>
  <si>
    <t>[034220]</t>
  </si>
  <si>
    <t>LG디스플레이</t>
  </si>
  <si>
    <t>[006260]</t>
  </si>
  <si>
    <t>LS</t>
  </si>
  <si>
    <t>[011070]</t>
  </si>
  <si>
    <t>LG이노텍</t>
  </si>
  <si>
    <t>[001570]</t>
  </si>
  <si>
    <t>금양</t>
  </si>
  <si>
    <t>[002990]</t>
  </si>
  <si>
    <t>금호산업</t>
  </si>
  <si>
    <t>[011780]</t>
  </si>
  <si>
    <t>금호석유화학</t>
  </si>
  <si>
    <t>[001210]</t>
  </si>
  <si>
    <t>금호전기</t>
  </si>
  <si>
    <t>[011210]</t>
  </si>
  <si>
    <t>현대위아</t>
  </si>
  <si>
    <t>[000270]</t>
  </si>
  <si>
    <t>기아자동차</t>
  </si>
  <si>
    <t>[001430]</t>
  </si>
  <si>
    <t>세아베스틸</t>
  </si>
  <si>
    <t>[014990]</t>
  </si>
  <si>
    <t>인디에프</t>
  </si>
  <si>
    <t>[001260]</t>
  </si>
  <si>
    <t>남광토건</t>
  </si>
  <si>
    <t>[008350]</t>
  </si>
  <si>
    <t>남선알미늄</t>
  </si>
  <si>
    <t>[003920]</t>
  </si>
  <si>
    <t>남양유업</t>
  </si>
  <si>
    <t>[007660]</t>
  </si>
  <si>
    <t>이수페타시스</t>
  </si>
  <si>
    <t>[002070]</t>
  </si>
  <si>
    <t>남영비비안</t>
  </si>
  <si>
    <t>[025860]</t>
  </si>
  <si>
    <t>남해화학</t>
  </si>
  <si>
    <t>[091590]</t>
  </si>
  <si>
    <t>남화토건</t>
  </si>
  <si>
    <t>[004250]</t>
  </si>
  <si>
    <t>엔피씨</t>
  </si>
  <si>
    <t>[015540]</t>
  </si>
  <si>
    <t>[005250]</t>
  </si>
  <si>
    <t>녹십자홀딩스</t>
  </si>
  <si>
    <t>[004370]</t>
  </si>
  <si>
    <t>농심</t>
  </si>
  <si>
    <t>[048830]</t>
  </si>
  <si>
    <t>엔피케이</t>
  </si>
  <si>
    <t>[048770]</t>
  </si>
  <si>
    <t>TPC</t>
  </si>
  <si>
    <t>[015590]</t>
  </si>
  <si>
    <t>[019680]</t>
  </si>
  <si>
    <t>대교</t>
  </si>
  <si>
    <t>[016710]</t>
  </si>
  <si>
    <t>대성홀딩스</t>
  </si>
  <si>
    <t>[006890]</t>
  </si>
  <si>
    <t>[008060]</t>
  </si>
  <si>
    <t>대덕전자</t>
  </si>
  <si>
    <t>[048470]</t>
  </si>
  <si>
    <t>대동스틸</t>
  </si>
  <si>
    <t>[000490]</t>
  </si>
  <si>
    <t>대동공업</t>
  </si>
  <si>
    <t>[008830]</t>
  </si>
  <si>
    <t>대동기어</t>
  </si>
  <si>
    <t>[004870]</t>
  </si>
  <si>
    <t>티웨이홀딩스</t>
  </si>
  <si>
    <t>[004780]</t>
  </si>
  <si>
    <t>대륙제관</t>
  </si>
  <si>
    <t>[000210]</t>
  </si>
  <si>
    <t>대림산업</t>
  </si>
  <si>
    <t>[003960]</t>
  </si>
  <si>
    <t>사조대림</t>
  </si>
  <si>
    <t>[005750]</t>
  </si>
  <si>
    <t>대림비앤코</t>
  </si>
  <si>
    <t>[017650]</t>
  </si>
  <si>
    <t>대림제지</t>
  </si>
  <si>
    <t>[006570]</t>
  </si>
  <si>
    <t>대림통상</t>
  </si>
  <si>
    <t>[036490]</t>
  </si>
  <si>
    <t>[067290]</t>
  </si>
  <si>
    <t>[025440]</t>
  </si>
  <si>
    <t>대성엘텍</t>
  </si>
  <si>
    <t>[155660]</t>
  </si>
  <si>
    <t>DSR</t>
  </si>
  <si>
    <t>[032790]</t>
  </si>
  <si>
    <t>[009190]</t>
  </si>
  <si>
    <t>대양금속</t>
  </si>
  <si>
    <t>[108380]</t>
  </si>
  <si>
    <t>대양전기공업</t>
  </si>
  <si>
    <t>[044180]</t>
  </si>
  <si>
    <t>[006580]</t>
  </si>
  <si>
    <t>대양제지</t>
  </si>
  <si>
    <t>[005870]</t>
  </si>
  <si>
    <t>휴니드테크놀러지스</t>
  </si>
  <si>
    <t>[014160]</t>
  </si>
  <si>
    <t>대영포장</t>
  </si>
  <si>
    <t>[009320]</t>
  </si>
  <si>
    <t>대우부품</t>
  </si>
  <si>
    <t>[042660]</t>
  </si>
  <si>
    <t>대우조선해양</t>
  </si>
  <si>
    <t>[003090]</t>
  </si>
  <si>
    <t>대웅</t>
  </si>
  <si>
    <t>[000430]</t>
  </si>
  <si>
    <t>대원강업</t>
  </si>
  <si>
    <t>[028040]</t>
  </si>
  <si>
    <t>[005710]</t>
  </si>
  <si>
    <t>대원산업</t>
  </si>
  <si>
    <t>[003220]</t>
  </si>
  <si>
    <t>대원제약</t>
  </si>
  <si>
    <t>[024890]</t>
  </si>
  <si>
    <t>대원화성</t>
  </si>
  <si>
    <t>[092200]</t>
  </si>
  <si>
    <t>디아이씨</t>
  </si>
  <si>
    <t>[000040]</t>
  </si>
  <si>
    <t>KR모터스</t>
  </si>
  <si>
    <t>[003310]</t>
  </si>
  <si>
    <t>대주산업</t>
  </si>
  <si>
    <t>[012800]</t>
  </si>
  <si>
    <t>대창</t>
  </si>
  <si>
    <t>[015230]</t>
  </si>
  <si>
    <t>대창단조</t>
  </si>
  <si>
    <t>[140520]</t>
  </si>
  <si>
    <t>대창스틸</t>
  </si>
  <si>
    <t>[001070]</t>
  </si>
  <si>
    <t>대한방직</t>
  </si>
  <si>
    <t>[023910]</t>
  </si>
  <si>
    <t>대한약품</t>
  </si>
  <si>
    <t>[001440]</t>
  </si>
  <si>
    <t>대한전선</t>
  </si>
  <si>
    <t>[084010]</t>
  </si>
  <si>
    <t>대한제강</t>
  </si>
  <si>
    <t>[001790]</t>
  </si>
  <si>
    <t>대한제당</t>
  </si>
  <si>
    <t>[001130]</t>
  </si>
  <si>
    <t>대한제분</t>
  </si>
  <si>
    <t>[010170]</t>
  </si>
  <si>
    <t>대한광통신</t>
  </si>
  <si>
    <t>[000120]</t>
  </si>
  <si>
    <t>CJ대한통운</t>
  </si>
  <si>
    <t>[004540]</t>
  </si>
  <si>
    <t>깨끗한나라</t>
  </si>
  <si>
    <t>[000320]</t>
  </si>
  <si>
    <t>노루홀딩스</t>
  </si>
  <si>
    <t>[003490]</t>
  </si>
  <si>
    <t>대한항공</t>
  </si>
  <si>
    <t>[005880]</t>
  </si>
  <si>
    <t>대한해운</t>
  </si>
  <si>
    <t>[003830]</t>
  </si>
  <si>
    <t>대한화섬</t>
  </si>
  <si>
    <t>[016090]</t>
  </si>
  <si>
    <t>대현</t>
  </si>
  <si>
    <t>[020150]</t>
  </si>
  <si>
    <t>일진머티리얼즈</t>
  </si>
  <si>
    <t>[004830]</t>
  </si>
  <si>
    <t>덕성</t>
  </si>
  <si>
    <t>[024900]</t>
  </si>
  <si>
    <t>덕양산업</t>
  </si>
  <si>
    <t>[002150]</t>
  </si>
  <si>
    <t>도화엔지니어링</t>
  </si>
  <si>
    <t>[001620]</t>
  </si>
  <si>
    <t>[001230]</t>
  </si>
  <si>
    <t>동국제강</t>
  </si>
  <si>
    <t>[086450]</t>
  </si>
  <si>
    <t>동국제약</t>
  </si>
  <si>
    <t>[023450]</t>
  </si>
  <si>
    <t>동남합성</t>
  </si>
  <si>
    <t>[004140]</t>
  </si>
  <si>
    <t>동방</t>
  </si>
  <si>
    <t>[007590]</t>
  </si>
  <si>
    <t>동방아그로</t>
  </si>
  <si>
    <t>[005960]</t>
  </si>
  <si>
    <t>동부건설</t>
  </si>
  <si>
    <t>[016380]</t>
  </si>
  <si>
    <t>[039840]</t>
  </si>
  <si>
    <t>디오</t>
  </si>
  <si>
    <t>[010780]</t>
  </si>
  <si>
    <t>아이에스동서</t>
  </si>
  <si>
    <t>[002210]</t>
  </si>
  <si>
    <t>동성제약</t>
  </si>
  <si>
    <t>[008260]</t>
  </si>
  <si>
    <t>NI스틸</t>
  </si>
  <si>
    <t>[005190]</t>
  </si>
  <si>
    <t>동성화학</t>
  </si>
  <si>
    <t>[025950]</t>
  </si>
  <si>
    <t>동신건설</t>
  </si>
  <si>
    <t>[009730]</t>
  </si>
  <si>
    <t>코센</t>
  </si>
  <si>
    <t>[000640]</t>
  </si>
  <si>
    <t>동아쏘시오홀딩스</t>
  </si>
  <si>
    <t>[007340]</t>
  </si>
  <si>
    <t>[001780]</t>
  </si>
  <si>
    <t>알루코</t>
  </si>
  <si>
    <t>[013570]</t>
  </si>
  <si>
    <t>디와이</t>
  </si>
  <si>
    <t>[004800]</t>
  </si>
  <si>
    <t>효성</t>
  </si>
  <si>
    <t>[000150]</t>
  </si>
  <si>
    <t>두산</t>
  </si>
  <si>
    <t>[002900]</t>
  </si>
  <si>
    <t>동양물산기업</t>
  </si>
  <si>
    <t>[007390]</t>
  </si>
  <si>
    <t>네이처셀</t>
  </si>
  <si>
    <t>[002710]</t>
  </si>
  <si>
    <t>[001520]</t>
  </si>
  <si>
    <t>동양</t>
  </si>
  <si>
    <t>[026890]</t>
  </si>
  <si>
    <t>디피씨</t>
  </si>
  <si>
    <t>[001800]</t>
  </si>
  <si>
    <t>오리온</t>
  </si>
  <si>
    <t>[008970]</t>
  </si>
  <si>
    <t>동양철관</t>
  </si>
  <si>
    <t>[012700]</t>
  </si>
  <si>
    <t>리드코프</t>
  </si>
  <si>
    <t>[013120]</t>
  </si>
  <si>
    <t>동원개발</t>
  </si>
  <si>
    <t>[006040]</t>
  </si>
  <si>
    <t>동원산업</t>
  </si>
  <si>
    <t>[030720]</t>
  </si>
  <si>
    <t>동원수산</t>
  </si>
  <si>
    <t>[004840]</t>
  </si>
  <si>
    <t>DRB동일</t>
  </si>
  <si>
    <t>[003160]</t>
  </si>
  <si>
    <t>디아이</t>
  </si>
  <si>
    <t>[109860]</t>
  </si>
  <si>
    <t>동일금속</t>
  </si>
  <si>
    <t>[001530]</t>
  </si>
  <si>
    <t>[002690]</t>
  </si>
  <si>
    <t>동일제강</t>
  </si>
  <si>
    <t>[011000]</t>
  </si>
  <si>
    <t>진원생명과학</t>
  </si>
  <si>
    <t>[005290]</t>
  </si>
  <si>
    <t>동진쎄미켐</t>
  </si>
  <si>
    <t>[019180]</t>
  </si>
  <si>
    <t>티에이치엔</t>
  </si>
  <si>
    <t>[009580]</t>
  </si>
  <si>
    <t>무림P&amp;P</t>
  </si>
  <si>
    <t>[000020]</t>
  </si>
  <si>
    <t>동화약품</t>
  </si>
  <si>
    <t>[003550]</t>
  </si>
  <si>
    <t>LG</t>
  </si>
  <si>
    <t>[006360]</t>
  </si>
  <si>
    <t>GS건설</t>
  </si>
  <si>
    <t>[001120]</t>
  </si>
  <si>
    <t>LG상사</t>
  </si>
  <si>
    <t>[026040]</t>
  </si>
  <si>
    <t>[002270]</t>
  </si>
  <si>
    <t>롯데푸드</t>
  </si>
  <si>
    <t>[023530]</t>
  </si>
  <si>
    <t>롯데쇼핑</t>
  </si>
  <si>
    <t>[004990]</t>
  </si>
  <si>
    <t>롯데제과</t>
  </si>
  <si>
    <t>[005300]</t>
  </si>
  <si>
    <t>롯데칠성음료</t>
  </si>
  <si>
    <t>[001080]</t>
  </si>
  <si>
    <t>만호제강</t>
  </si>
  <si>
    <t>[065420]</t>
  </si>
  <si>
    <t>에스아이리소스</t>
  </si>
  <si>
    <t>[005990]</t>
  </si>
  <si>
    <t>매일유업</t>
  </si>
  <si>
    <t>[017180]</t>
  </si>
  <si>
    <t>명문제약</t>
  </si>
  <si>
    <t>[009780]</t>
  </si>
  <si>
    <t>엠에스씨</t>
  </si>
  <si>
    <t>[005360]</t>
  </si>
  <si>
    <t>모나미</t>
  </si>
  <si>
    <t>[001810]</t>
  </si>
  <si>
    <t>무림SP</t>
  </si>
  <si>
    <t>[023150]</t>
  </si>
  <si>
    <t>MH에탄올</t>
  </si>
  <si>
    <t>[033920]</t>
  </si>
  <si>
    <t>무학</t>
  </si>
  <si>
    <t>[008420]</t>
  </si>
  <si>
    <t>문배철강</t>
  </si>
  <si>
    <t>[033160]</t>
  </si>
  <si>
    <t>엠케이전자</t>
  </si>
  <si>
    <t>[002840]</t>
  </si>
  <si>
    <t>미원상사</t>
  </si>
  <si>
    <t>[001680]</t>
  </si>
  <si>
    <t>대상</t>
  </si>
  <si>
    <t>[003650]</t>
  </si>
  <si>
    <t>미창석유공업</t>
  </si>
  <si>
    <t>[036260]</t>
  </si>
  <si>
    <t>[001340]</t>
  </si>
  <si>
    <t>백광산업</t>
  </si>
  <si>
    <t>[014580]</t>
  </si>
  <si>
    <t>[035150]</t>
  </si>
  <si>
    <t>백산</t>
  </si>
  <si>
    <t>[001460]</t>
  </si>
  <si>
    <t>BYC</t>
  </si>
  <si>
    <t>[002410]</t>
  </si>
  <si>
    <t>범양건영</t>
  </si>
  <si>
    <t>[028670]</t>
  </si>
  <si>
    <t>팬오션</t>
  </si>
  <si>
    <t>[006490]</t>
  </si>
  <si>
    <t>인스코비</t>
  </si>
  <si>
    <t>[007210]</t>
  </si>
  <si>
    <t>벽산</t>
  </si>
  <si>
    <t>[002760]</t>
  </si>
  <si>
    <t>보락</t>
  </si>
  <si>
    <t>[003850]</t>
  </si>
  <si>
    <t>보령제약</t>
  </si>
  <si>
    <t>[004650]</t>
  </si>
  <si>
    <t>창해에탄올</t>
  </si>
  <si>
    <t>[000890]</t>
  </si>
  <si>
    <t>보해양조</t>
  </si>
  <si>
    <t>[003000]</t>
  </si>
  <si>
    <t>부광약품</t>
  </si>
  <si>
    <t>[026940]</t>
  </si>
  <si>
    <t>부국철강</t>
  </si>
  <si>
    <t>[015350]</t>
  </si>
  <si>
    <t>부산도시가스</t>
  </si>
  <si>
    <t>[011390]</t>
  </si>
  <si>
    <t>부산산업</t>
  </si>
  <si>
    <t>[007280]</t>
  </si>
  <si>
    <t>한국특수형강</t>
  </si>
  <si>
    <t>[005030]</t>
  </si>
  <si>
    <t>부산주공</t>
  </si>
  <si>
    <t>[003030]</t>
  </si>
  <si>
    <t>세아제강</t>
  </si>
  <si>
    <t>[008470]</t>
  </si>
  <si>
    <t>부스타</t>
  </si>
  <si>
    <t>[047050]</t>
  </si>
  <si>
    <t>[047040]</t>
  </si>
  <si>
    <t>대우건설</t>
  </si>
  <si>
    <t>[005180]</t>
  </si>
  <si>
    <t>빙그레</t>
  </si>
  <si>
    <t>[014710]</t>
  </si>
  <si>
    <t>사조씨푸드</t>
  </si>
  <si>
    <t>[007160]</t>
  </si>
  <si>
    <t>사조산업</t>
  </si>
  <si>
    <t>[006840]</t>
  </si>
  <si>
    <t>AK홀딩스</t>
  </si>
  <si>
    <t>[005090]</t>
  </si>
  <si>
    <t>삼광글라스</t>
  </si>
  <si>
    <t>[014970]</t>
  </si>
  <si>
    <t>삼륭물산</t>
  </si>
  <si>
    <t>[005850]</t>
  </si>
  <si>
    <t>에스엘</t>
  </si>
  <si>
    <t>[005610]</t>
  </si>
  <si>
    <t>[033250]</t>
  </si>
  <si>
    <t>체시스</t>
  </si>
  <si>
    <t>[018310]</t>
  </si>
  <si>
    <t>삼목에스폼</t>
  </si>
  <si>
    <t>[016670]</t>
  </si>
  <si>
    <t>포비스티앤씨</t>
  </si>
  <si>
    <t>[004560]</t>
  </si>
  <si>
    <t>현대비앤지스틸</t>
  </si>
  <si>
    <t>[009620]</t>
  </si>
  <si>
    <t>삼보산업</t>
  </si>
  <si>
    <t>[023600]</t>
  </si>
  <si>
    <t>삼보판지</t>
  </si>
  <si>
    <t>[111870]</t>
  </si>
  <si>
    <t>[000300]</t>
  </si>
  <si>
    <t>[018260]</t>
  </si>
  <si>
    <t>삼성에스디에스</t>
  </si>
  <si>
    <t>[006660]</t>
  </si>
  <si>
    <t>삼성공조</t>
  </si>
  <si>
    <t>[028050]</t>
  </si>
  <si>
    <t>삼성엔지니어링</t>
  </si>
  <si>
    <t>[006400]</t>
  </si>
  <si>
    <t>삼성SDI</t>
  </si>
  <si>
    <t>[009150]</t>
  </si>
  <si>
    <t>삼성전기</t>
  </si>
  <si>
    <t>[005930]</t>
  </si>
  <si>
    <t>삼성전자</t>
  </si>
  <si>
    <t>[001360]</t>
  </si>
  <si>
    <t>삼성제약</t>
  </si>
  <si>
    <t>[010140]</t>
  </si>
  <si>
    <t>삼성중공업</t>
  </si>
  <si>
    <t>[007700]</t>
  </si>
  <si>
    <t>F&amp;F</t>
  </si>
  <si>
    <t>[012450]</t>
  </si>
  <si>
    <t>[006110]</t>
  </si>
  <si>
    <t>삼아알미늄</t>
  </si>
  <si>
    <t>[009300]</t>
  </si>
  <si>
    <t>삼아제약</t>
  </si>
  <si>
    <t>[000070]</t>
  </si>
  <si>
    <t>삼양홀딩스</t>
  </si>
  <si>
    <t>[003230]</t>
  </si>
  <si>
    <t>삼양식품</t>
  </si>
  <si>
    <t>[002170]</t>
  </si>
  <si>
    <t>삼양통상</t>
  </si>
  <si>
    <t>[004920]</t>
  </si>
  <si>
    <t>씨아이테크</t>
  </si>
  <si>
    <t>[002810]</t>
  </si>
  <si>
    <t>삼영무역</t>
  </si>
  <si>
    <t>[005680]</t>
  </si>
  <si>
    <t>삼영전자공업</t>
  </si>
  <si>
    <t>[003720]</t>
  </si>
  <si>
    <t>삼영화학공업</t>
  </si>
  <si>
    <t>[004380]</t>
  </si>
  <si>
    <t>삼익THK</t>
  </si>
  <si>
    <t>[002450]</t>
  </si>
  <si>
    <t>삼익악기</t>
  </si>
  <si>
    <t>[032280]</t>
  </si>
  <si>
    <t>삼일</t>
  </si>
  <si>
    <t>[002290]</t>
  </si>
  <si>
    <t>삼일기업공사</t>
  </si>
  <si>
    <t>[051500]</t>
  </si>
  <si>
    <t>CJ프레시웨이</t>
  </si>
  <si>
    <t>[000520]</t>
  </si>
  <si>
    <t>삼일제약</t>
  </si>
  <si>
    <t>[009520]</t>
  </si>
  <si>
    <t>포스코엠텍</t>
  </si>
  <si>
    <t>[014190]</t>
  </si>
  <si>
    <t>원익큐브</t>
  </si>
  <si>
    <t>[009770]</t>
  </si>
  <si>
    <t>삼정펄프</t>
  </si>
  <si>
    <t>[037460]</t>
  </si>
  <si>
    <t>삼지전자</t>
  </si>
  <si>
    <t>[005500]</t>
  </si>
  <si>
    <t>삼진제약</t>
  </si>
  <si>
    <t>[000250]</t>
  </si>
  <si>
    <t>삼천당제약</t>
  </si>
  <si>
    <t>[004690]</t>
  </si>
  <si>
    <t>삼천리</t>
  </si>
  <si>
    <t>[024950]</t>
  </si>
  <si>
    <t>삼천리자전거</t>
  </si>
  <si>
    <t>[031330]</t>
  </si>
  <si>
    <t>에스에이엠티</t>
  </si>
  <si>
    <t>[017480]</t>
  </si>
  <si>
    <t>삼현철강</t>
  </si>
  <si>
    <t>[001880]</t>
  </si>
  <si>
    <t>삼호</t>
  </si>
  <si>
    <t>[010960]</t>
  </si>
  <si>
    <t>삼호개발</t>
  </si>
  <si>
    <t>[011150]</t>
  </si>
  <si>
    <t>CJ씨푸드</t>
  </si>
  <si>
    <t>[004450]</t>
  </si>
  <si>
    <t>삼화왕관</t>
  </si>
  <si>
    <t>[009470]</t>
  </si>
  <si>
    <t>삼화전기</t>
  </si>
  <si>
    <t>[011230]</t>
  </si>
  <si>
    <t>삼화전자공업</t>
  </si>
  <si>
    <t>[001820]</t>
  </si>
  <si>
    <t>삼화콘덴서공업</t>
  </si>
  <si>
    <t>[000390]</t>
  </si>
  <si>
    <t>삼화페인트공업</t>
  </si>
  <si>
    <t>[013700]</t>
  </si>
  <si>
    <t>[014130]</t>
  </si>
  <si>
    <t>한익스프레스</t>
  </si>
  <si>
    <t>[011420]</t>
  </si>
  <si>
    <t>[027580]</t>
  </si>
  <si>
    <t>상보</t>
  </si>
  <si>
    <t>[041650]</t>
  </si>
  <si>
    <t>상신브레이크</t>
  </si>
  <si>
    <t>[006280]</t>
  </si>
  <si>
    <t>녹십자</t>
  </si>
  <si>
    <t>[005070]</t>
  </si>
  <si>
    <t>코스모신소재</t>
  </si>
  <si>
    <t>[007540]</t>
  </si>
  <si>
    <t>샘표식품</t>
  </si>
  <si>
    <t>[006730]</t>
  </si>
  <si>
    <t>서부T&amp;D</t>
  </si>
  <si>
    <t>[079650]</t>
  </si>
  <si>
    <t>서산</t>
  </si>
  <si>
    <t>[027040]</t>
  </si>
  <si>
    <t>서울전자통신</t>
  </si>
  <si>
    <t>[017390]</t>
  </si>
  <si>
    <t>서울도시가스</t>
  </si>
  <si>
    <t>[046890]</t>
  </si>
  <si>
    <t>서울반도체</t>
  </si>
  <si>
    <t>[034120]</t>
  </si>
  <si>
    <t>SBS</t>
  </si>
  <si>
    <t>[004410]</t>
  </si>
  <si>
    <t>서울식품공업</t>
  </si>
  <si>
    <t>[018680]</t>
  </si>
  <si>
    <t>서울제약</t>
  </si>
  <si>
    <t>[021050]</t>
  </si>
  <si>
    <t>서원</t>
  </si>
  <si>
    <t>[011370]</t>
  </si>
  <si>
    <t>서한</t>
  </si>
  <si>
    <t>[008490]</t>
  </si>
  <si>
    <t>서흥</t>
  </si>
  <si>
    <t>[001740]</t>
  </si>
  <si>
    <t>SK네트웍스</t>
  </si>
  <si>
    <t>[006120]</t>
  </si>
  <si>
    <t>SK케미칼</t>
  </si>
  <si>
    <t>[003100]</t>
  </si>
  <si>
    <t>선광</t>
  </si>
  <si>
    <t>[007610]</t>
  </si>
  <si>
    <t>선도전기</t>
  </si>
  <si>
    <t>[014620]</t>
  </si>
  <si>
    <t>성광벤드</t>
  </si>
  <si>
    <t>[192400]</t>
  </si>
  <si>
    <t>[014910]</t>
  </si>
  <si>
    <t>성문전자</t>
  </si>
  <si>
    <t>[014820]</t>
  </si>
  <si>
    <t>동원시스템즈</t>
  </si>
  <si>
    <t>[003080]</t>
  </si>
  <si>
    <t>성보화학</t>
  </si>
  <si>
    <t>[004980]</t>
  </si>
  <si>
    <t>성신양회</t>
  </si>
  <si>
    <t>[011300]</t>
  </si>
  <si>
    <t>성안</t>
  </si>
  <si>
    <t>[015750]</t>
  </si>
  <si>
    <t>성우하이텍</t>
  </si>
  <si>
    <t>[000180]</t>
  </si>
  <si>
    <t>성창기업지주</t>
  </si>
  <si>
    <t>[004060]</t>
  </si>
  <si>
    <t>SG세계물산</t>
  </si>
  <si>
    <t>[024940]</t>
  </si>
  <si>
    <t>PN풍년</t>
  </si>
  <si>
    <t>[002420]</t>
  </si>
  <si>
    <t>세기상사</t>
  </si>
  <si>
    <t>[053060]</t>
  </si>
  <si>
    <t>세동</t>
  </si>
  <si>
    <t>[027970]</t>
  </si>
  <si>
    <t>세하</t>
  </si>
  <si>
    <t>[017510]</t>
  </si>
  <si>
    <t>세명전기</t>
  </si>
  <si>
    <t>[004360]</t>
  </si>
  <si>
    <t>세방</t>
  </si>
  <si>
    <t>[004490]</t>
  </si>
  <si>
    <t>세방전지</t>
  </si>
  <si>
    <t>[011560]</t>
  </si>
  <si>
    <t>세보엠이씨</t>
  </si>
  <si>
    <t>[019440]</t>
  </si>
  <si>
    <t>세아특수강</t>
  </si>
  <si>
    <t>[013000]</t>
  </si>
  <si>
    <t>세우글로벌</t>
  </si>
  <si>
    <t>[021820]</t>
  </si>
  <si>
    <t>세원정공</t>
  </si>
  <si>
    <t>[003570]</t>
  </si>
  <si>
    <t>S&amp;T중공업</t>
  </si>
  <si>
    <t>[033530]</t>
  </si>
  <si>
    <t>세종공업</t>
  </si>
  <si>
    <t>[015020]</t>
  </si>
  <si>
    <t>이스타코</t>
  </si>
  <si>
    <t>[001020]</t>
  </si>
  <si>
    <t>페이퍼코리아</t>
  </si>
  <si>
    <t>[004430]</t>
  </si>
  <si>
    <t>송원산업</t>
  </si>
  <si>
    <t>[004720]</t>
  </si>
  <si>
    <t>우리들제약</t>
  </si>
  <si>
    <t>[017550]</t>
  </si>
  <si>
    <t>수산중공업</t>
  </si>
  <si>
    <t>[049830]</t>
  </si>
  <si>
    <t>승일</t>
  </si>
  <si>
    <t>[016590]</t>
  </si>
  <si>
    <t>신대양제지</t>
  </si>
  <si>
    <t>[029530]</t>
  </si>
  <si>
    <t>신도리코</t>
  </si>
  <si>
    <t>[004970]</t>
  </si>
  <si>
    <t>신라교역</t>
  </si>
  <si>
    <t>[001000]</t>
  </si>
  <si>
    <t>신라섬유</t>
  </si>
  <si>
    <t>[025870]</t>
  </si>
  <si>
    <t>신라에스지</t>
  </si>
  <si>
    <t>[009200]</t>
  </si>
  <si>
    <t>무림페이퍼</t>
  </si>
  <si>
    <t>[013810]</t>
  </si>
  <si>
    <t>스페코</t>
  </si>
  <si>
    <t>[065350]</t>
  </si>
  <si>
    <t>신성델타테크</t>
  </si>
  <si>
    <t>[011930]</t>
  </si>
  <si>
    <t>[005390]</t>
  </si>
  <si>
    <t>신성통상</t>
  </si>
  <si>
    <t>[004170]</t>
  </si>
  <si>
    <t>신세계</t>
  </si>
  <si>
    <t>[006880]</t>
  </si>
  <si>
    <t>신송홀딩스</t>
  </si>
  <si>
    <t>[002360]</t>
  </si>
  <si>
    <t>SH에너지화학</t>
  </si>
  <si>
    <t>[005800]</t>
  </si>
  <si>
    <t>신영와코루</t>
  </si>
  <si>
    <t>[025620]</t>
  </si>
  <si>
    <t>[009270]</t>
  </si>
  <si>
    <t>신원</t>
  </si>
  <si>
    <t>[017000]</t>
  </si>
  <si>
    <t>신원종합개발</t>
  </si>
  <si>
    <t>[103230]</t>
  </si>
  <si>
    <t>에스앤더블류</t>
  </si>
  <si>
    <t>[012790]</t>
  </si>
  <si>
    <t>신일제약</t>
  </si>
  <si>
    <t>[011330]</t>
  </si>
  <si>
    <t>유니켐</t>
  </si>
  <si>
    <t>[012860]</t>
  </si>
  <si>
    <t>[008040]</t>
  </si>
  <si>
    <t>[041520]</t>
  </si>
  <si>
    <t>이라이콤</t>
  </si>
  <si>
    <t>[019170]</t>
  </si>
  <si>
    <t>신풍제약</t>
  </si>
  <si>
    <t>[002870]</t>
  </si>
  <si>
    <t>신풍제지</t>
  </si>
  <si>
    <t>[001770]</t>
  </si>
  <si>
    <t>신화실업</t>
  </si>
  <si>
    <t>[007820]</t>
  </si>
  <si>
    <t>[004770]</t>
  </si>
  <si>
    <t>써니전자</t>
  </si>
  <si>
    <t>[003410]</t>
  </si>
  <si>
    <t>쌍용양회공업</t>
  </si>
  <si>
    <t>[003620]</t>
  </si>
  <si>
    <t>쌍용자동차</t>
  </si>
  <si>
    <t>[009160]</t>
  </si>
  <si>
    <t>SIMPAC</t>
  </si>
  <si>
    <t>[010950]</t>
  </si>
  <si>
    <t>S-Oil</t>
  </si>
  <si>
    <t>[011810]</t>
  </si>
  <si>
    <t>STX</t>
  </si>
  <si>
    <t>[010280]</t>
  </si>
  <si>
    <t>쌍용정보통신</t>
  </si>
  <si>
    <t>[023770]</t>
  </si>
  <si>
    <t>플레이위드</t>
  </si>
  <si>
    <t>[013990]</t>
  </si>
  <si>
    <t>아가방컴퍼니</t>
  </si>
  <si>
    <t>[008700]</t>
  </si>
  <si>
    <t>아남전자</t>
  </si>
  <si>
    <t>[036010]</t>
  </si>
  <si>
    <t>아비코전자</t>
  </si>
  <si>
    <t>[002030]</t>
  </si>
  <si>
    <t>아세아</t>
  </si>
  <si>
    <t>[002310]</t>
  </si>
  <si>
    <t>아세아제지</t>
  </si>
  <si>
    <t>[050860]</t>
  </si>
  <si>
    <t>아세아텍</t>
  </si>
  <si>
    <t>[020560]</t>
  </si>
  <si>
    <t>아시아나항공</t>
  </si>
  <si>
    <t>[038110]</t>
  </si>
  <si>
    <t>에코플라스틱</t>
  </si>
  <si>
    <t>[001540]</t>
  </si>
  <si>
    <t>안국약품</t>
  </si>
  <si>
    <t>[030960]</t>
  </si>
  <si>
    <t>양지사</t>
  </si>
  <si>
    <t>[019210]</t>
  </si>
  <si>
    <t>와이지-원</t>
  </si>
  <si>
    <t>[011090]</t>
  </si>
  <si>
    <t>에넥스</t>
  </si>
  <si>
    <t>[011790]</t>
  </si>
  <si>
    <t>SKC</t>
  </si>
  <si>
    <t>[003800]</t>
  </si>
  <si>
    <t>에이스침대</t>
  </si>
  <si>
    <t>[022220]</t>
  </si>
  <si>
    <t>[020120]</t>
  </si>
  <si>
    <t>[035000]</t>
  </si>
  <si>
    <t>지투알</t>
  </si>
  <si>
    <t>[007070]</t>
  </si>
  <si>
    <t>GS리테일</t>
  </si>
  <si>
    <t>[002680]</t>
  </si>
  <si>
    <t>한탑</t>
  </si>
  <si>
    <t>[014440]</t>
  </si>
  <si>
    <t>영보화학</t>
  </si>
  <si>
    <t>[007530]</t>
  </si>
  <si>
    <t>영신금속</t>
  </si>
  <si>
    <t>[009180]</t>
  </si>
  <si>
    <t>한솔로지스틱스</t>
  </si>
  <si>
    <t>[014680]</t>
  </si>
  <si>
    <t>한솔케미칼</t>
  </si>
  <si>
    <t>[009970]</t>
  </si>
  <si>
    <t>영원무역홀딩스</t>
  </si>
  <si>
    <t>[003520]</t>
  </si>
  <si>
    <t>[016250]</t>
  </si>
  <si>
    <t>이테크건설</t>
  </si>
  <si>
    <t>[010600]</t>
  </si>
  <si>
    <t>[000670]</t>
  </si>
  <si>
    <t>영풍</t>
  </si>
  <si>
    <t>[036560]</t>
  </si>
  <si>
    <t>영풍정밀</t>
  </si>
  <si>
    <t>[006740]</t>
  </si>
  <si>
    <t>영풍제지</t>
  </si>
  <si>
    <t>[012280]</t>
  </si>
  <si>
    <t>영화금속</t>
  </si>
  <si>
    <t>[012160]</t>
  </si>
  <si>
    <t>[007310]</t>
  </si>
  <si>
    <t>오뚜기</t>
  </si>
  <si>
    <t>[039830]</t>
  </si>
  <si>
    <t>오로라</t>
  </si>
  <si>
    <t>[014940]</t>
  </si>
  <si>
    <t>오리엔탈정공</t>
  </si>
  <si>
    <t>[010470]</t>
  </si>
  <si>
    <t>오리콤</t>
  </si>
  <si>
    <t>[006090]</t>
  </si>
  <si>
    <t>사조오양</t>
  </si>
  <si>
    <t>[006980]</t>
  </si>
  <si>
    <t>우성사료</t>
  </si>
  <si>
    <t>[011080]</t>
  </si>
  <si>
    <t>형지I&amp;C</t>
  </si>
  <si>
    <t>[024070]</t>
  </si>
  <si>
    <t>WISCOM</t>
  </si>
  <si>
    <t>[017370]</t>
  </si>
  <si>
    <t>우신시스템</t>
  </si>
  <si>
    <t>[033310]</t>
  </si>
  <si>
    <t>디케이디앤아이</t>
  </si>
  <si>
    <t>[015260]</t>
  </si>
  <si>
    <t>에이엔피</t>
  </si>
  <si>
    <t>[012320]</t>
  </si>
  <si>
    <t>경동도시가스</t>
  </si>
  <si>
    <t>[016880]</t>
  </si>
  <si>
    <t>웅진</t>
  </si>
  <si>
    <t>[005820]</t>
  </si>
  <si>
    <t>원림</t>
  </si>
  <si>
    <t>[012620]</t>
  </si>
  <si>
    <t>원일특강</t>
  </si>
  <si>
    <t>[008370]</t>
  </si>
  <si>
    <t>원풍</t>
  </si>
  <si>
    <t>[008290]</t>
  </si>
  <si>
    <t>원풍물산</t>
  </si>
  <si>
    <t>[018670]</t>
  </si>
  <si>
    <t>SK가스</t>
  </si>
  <si>
    <t>[018000]</t>
  </si>
  <si>
    <t>유니슨</t>
  </si>
  <si>
    <t>[000910]</t>
  </si>
  <si>
    <t>유니온</t>
  </si>
  <si>
    <t>[026960]</t>
  </si>
  <si>
    <t>동서</t>
  </si>
  <si>
    <t>[054930]</t>
  </si>
  <si>
    <t>유신</t>
  </si>
  <si>
    <t>[011690]</t>
  </si>
  <si>
    <t>유양디앤유</t>
  </si>
  <si>
    <t>[000100]</t>
  </si>
  <si>
    <t>유한양행</t>
  </si>
  <si>
    <t>[005690]</t>
  </si>
  <si>
    <t>파미셀</t>
  </si>
  <si>
    <t>[008730]</t>
  </si>
  <si>
    <t>율촌화학</t>
  </si>
  <si>
    <t>[012170]</t>
  </si>
  <si>
    <t>[025820]</t>
  </si>
  <si>
    <t>이구산업</t>
  </si>
  <si>
    <t>[044960]</t>
  </si>
  <si>
    <t>[005950]</t>
  </si>
  <si>
    <t>이수화학</t>
  </si>
  <si>
    <t>[102460]</t>
  </si>
  <si>
    <t>이연제약</t>
  </si>
  <si>
    <t>[001840]</t>
  </si>
  <si>
    <t>이화공영</t>
  </si>
  <si>
    <t>[024810]</t>
  </si>
  <si>
    <t>이화전기</t>
  </si>
  <si>
    <t>[034590]</t>
  </si>
  <si>
    <t>인천도시가스</t>
  </si>
  <si>
    <t>[004020]</t>
  </si>
  <si>
    <t>현대제철</t>
  </si>
  <si>
    <t>[000230]</t>
  </si>
  <si>
    <t>일동제약</t>
  </si>
  <si>
    <t>[003120]</t>
  </si>
  <si>
    <t>일성신약</t>
  </si>
  <si>
    <t>[013360]</t>
  </si>
  <si>
    <t>일성건설</t>
  </si>
  <si>
    <t>[003200]</t>
  </si>
  <si>
    <t>일신방직</t>
  </si>
  <si>
    <t>[007110]</t>
  </si>
  <si>
    <t>일신석재</t>
  </si>
  <si>
    <t>[058450]</t>
  </si>
  <si>
    <t>일야</t>
  </si>
  <si>
    <t>[067570]</t>
  </si>
  <si>
    <t>엔브이에이치코리아</t>
  </si>
  <si>
    <t>[008500]</t>
  </si>
  <si>
    <t>일정실업</t>
  </si>
  <si>
    <t>[019540]</t>
  </si>
  <si>
    <t>일지테크</t>
  </si>
  <si>
    <t>[015860]</t>
  </si>
  <si>
    <t>일진홀딩스</t>
  </si>
  <si>
    <t>[033240]</t>
  </si>
  <si>
    <t>자화전자</t>
  </si>
  <si>
    <t>[049630]</t>
  </si>
  <si>
    <t>재영솔루텍</t>
  </si>
  <si>
    <t>[011320]</t>
  </si>
  <si>
    <t>유니크</t>
  </si>
  <si>
    <t>[000950]</t>
  </si>
  <si>
    <t>전방</t>
  </si>
  <si>
    <t>[045510]</t>
  </si>
  <si>
    <t>정원엔시스</t>
  </si>
  <si>
    <t>[010580]</t>
  </si>
  <si>
    <t>지코</t>
  </si>
  <si>
    <t>[042600]</t>
  </si>
  <si>
    <t>새로닉스</t>
  </si>
  <si>
    <t>[030000]</t>
  </si>
  <si>
    <t>제일기획</t>
  </si>
  <si>
    <t>[002620]</t>
  </si>
  <si>
    <t>제일약품</t>
  </si>
  <si>
    <t>[001560]</t>
  </si>
  <si>
    <t>제일연마</t>
  </si>
  <si>
    <t>[010820]</t>
  </si>
  <si>
    <t>퍼스텍</t>
  </si>
  <si>
    <t>[023440]</t>
  </si>
  <si>
    <t>제일제강</t>
  </si>
  <si>
    <t>[001040]</t>
  </si>
  <si>
    <t>CJ</t>
  </si>
  <si>
    <t>[038010]</t>
  </si>
  <si>
    <t>제일테크노스</t>
  </si>
  <si>
    <t>[010060]</t>
  </si>
  <si>
    <t>OCI</t>
  </si>
  <si>
    <t>[004910]</t>
  </si>
  <si>
    <t>조광페인트</t>
  </si>
  <si>
    <t>[004700]</t>
  </si>
  <si>
    <t>조광피혁</t>
  </si>
  <si>
    <t>[001550]</t>
  </si>
  <si>
    <t>조비</t>
  </si>
  <si>
    <t>[000480]</t>
  </si>
  <si>
    <t>조선내화</t>
  </si>
  <si>
    <t>[000140]</t>
  </si>
  <si>
    <t>하이트진로홀딩스</t>
  </si>
  <si>
    <t>[000590]</t>
  </si>
  <si>
    <t>CS홀딩스</t>
  </si>
  <si>
    <t>[018470]</t>
  </si>
  <si>
    <t>조일알미늄</t>
  </si>
  <si>
    <t>[023460]</t>
  </si>
  <si>
    <t>CNH</t>
  </si>
  <si>
    <t>[002600]</t>
  </si>
  <si>
    <t>조흥</t>
  </si>
  <si>
    <t>[001630]</t>
  </si>
  <si>
    <t>종근당홀딩스</t>
  </si>
  <si>
    <t>[028260]</t>
  </si>
  <si>
    <t>삼성물산</t>
  </si>
  <si>
    <t>[000440]</t>
  </si>
  <si>
    <t>중앙에너비스</t>
  </si>
  <si>
    <t>[002880]</t>
  </si>
  <si>
    <t>대유에이텍</t>
  </si>
  <si>
    <t>[001060]</t>
  </si>
  <si>
    <t>JW중외제약</t>
  </si>
  <si>
    <t>[018290]</t>
  </si>
  <si>
    <t>[000080]</t>
  </si>
  <si>
    <t>하이트진로</t>
  </si>
  <si>
    <t>[003780]</t>
  </si>
  <si>
    <t>진양산업</t>
  </si>
  <si>
    <t>[007370]</t>
  </si>
  <si>
    <t>진양제약</t>
  </si>
  <si>
    <t>[002780]</t>
  </si>
  <si>
    <t>진흥기업</t>
  </si>
  <si>
    <t>[009680]</t>
  </si>
  <si>
    <t>모토닉</t>
  </si>
  <si>
    <t>[069730]</t>
  </si>
  <si>
    <t>DSR제강</t>
  </si>
  <si>
    <t>[129260]</t>
  </si>
  <si>
    <t>인터지스</t>
  </si>
  <si>
    <t>[000650]</t>
  </si>
  <si>
    <t>천일고속</t>
  </si>
  <si>
    <t>[013720]</t>
  </si>
  <si>
    <t>청보산업</t>
  </si>
  <si>
    <t>[012600]</t>
  </si>
  <si>
    <t>청호컴넷</t>
  </si>
  <si>
    <t>[001380]</t>
  </si>
  <si>
    <t>[036710]</t>
  </si>
  <si>
    <t>심텍홀딩스</t>
  </si>
  <si>
    <t>[016920]</t>
  </si>
  <si>
    <t>카스</t>
  </si>
  <si>
    <t>[007460]</t>
  </si>
  <si>
    <t>[064820]</t>
  </si>
  <si>
    <t>케이프</t>
  </si>
  <si>
    <t>[027050]</t>
  </si>
  <si>
    <t>코리아나</t>
  </si>
  <si>
    <t>[007810]</t>
  </si>
  <si>
    <t>코리아써키트</t>
  </si>
  <si>
    <t>[017900]</t>
  </si>
  <si>
    <t>광전자</t>
  </si>
  <si>
    <t>[049430]</t>
  </si>
  <si>
    <t>코메론</t>
  </si>
  <si>
    <t>[002020]</t>
  </si>
  <si>
    <t>코오롱</t>
  </si>
  <si>
    <t>[003070]</t>
  </si>
  <si>
    <t>코오롱글로벌</t>
  </si>
  <si>
    <t>[005740]</t>
  </si>
  <si>
    <t>크라운제과</t>
  </si>
  <si>
    <t>[019770]</t>
  </si>
  <si>
    <t>[015890]</t>
  </si>
  <si>
    <t>태경산업</t>
  </si>
  <si>
    <t>[023160]</t>
  </si>
  <si>
    <t>태광</t>
  </si>
  <si>
    <t>[003240]</t>
  </si>
  <si>
    <t>태광산업</t>
  </si>
  <si>
    <t>[011280]</t>
  </si>
  <si>
    <t>[009310]</t>
  </si>
  <si>
    <t>참엔지니어링</t>
  </si>
  <si>
    <t>[004100]</t>
  </si>
  <si>
    <t>태양금속공업</t>
  </si>
  <si>
    <t>[009410]</t>
  </si>
  <si>
    <t>태영건설</t>
  </si>
  <si>
    <t>[001420]</t>
  </si>
  <si>
    <t>태원물산</t>
  </si>
  <si>
    <t>[007980]</t>
  </si>
  <si>
    <t>태평양물산</t>
  </si>
  <si>
    <t>[003560]</t>
  </si>
  <si>
    <t>아이에이치큐</t>
  </si>
  <si>
    <t>[002790]</t>
  </si>
  <si>
    <t>아모레퍼시픽그룹</t>
  </si>
  <si>
    <t>[082920]</t>
  </si>
  <si>
    <t>비츠로셀</t>
  </si>
  <si>
    <t>[010770]</t>
  </si>
  <si>
    <t>평화홀딩스</t>
  </si>
  <si>
    <t>[043370]</t>
  </si>
  <si>
    <t>평화정공</t>
  </si>
  <si>
    <t>[022100]</t>
  </si>
  <si>
    <t>포스코 ICT</t>
  </si>
  <si>
    <t>[058430]</t>
  </si>
  <si>
    <t>포스코강판</t>
  </si>
  <si>
    <t>[003670]</t>
  </si>
  <si>
    <t>[005490]</t>
  </si>
  <si>
    <t>포스코</t>
  </si>
  <si>
    <t>[017810]</t>
  </si>
  <si>
    <t>풀무원</t>
  </si>
  <si>
    <t>[093380]</t>
  </si>
  <si>
    <t>풍강</t>
  </si>
  <si>
    <t>[065940]</t>
  </si>
  <si>
    <t>[023900]</t>
  </si>
  <si>
    <t>풍국주정</t>
  </si>
  <si>
    <t>[005810]</t>
  </si>
  <si>
    <t>풍산홀딩스</t>
  </si>
  <si>
    <t>[024850]</t>
  </si>
  <si>
    <t>피에스엠씨</t>
  </si>
  <si>
    <t>[002230]</t>
  </si>
  <si>
    <t>피에스텍</t>
  </si>
  <si>
    <t>[037400]</t>
  </si>
  <si>
    <t>우리조명</t>
  </si>
  <si>
    <t>[006140]</t>
  </si>
  <si>
    <t>피제이전자</t>
  </si>
  <si>
    <t>[033290]</t>
  </si>
  <si>
    <t>코웰패션</t>
  </si>
  <si>
    <t>[019490]</t>
  </si>
  <si>
    <t>하이트론씨스템즈</t>
  </si>
  <si>
    <t>[013870]</t>
  </si>
  <si>
    <t>지엠비코리아</t>
  </si>
  <si>
    <t>[004590]</t>
  </si>
  <si>
    <t>한국가구</t>
  </si>
  <si>
    <t>[005010]</t>
  </si>
  <si>
    <t>휴스틸</t>
  </si>
  <si>
    <t>[005430]</t>
  </si>
  <si>
    <t>한국공항</t>
  </si>
  <si>
    <t>[034950]</t>
  </si>
  <si>
    <t>한국기업평가</t>
  </si>
  <si>
    <t>[025540]</t>
  </si>
  <si>
    <t>한국단자공업</t>
  </si>
  <si>
    <t>[004710]</t>
  </si>
  <si>
    <t>한솔테크닉스</t>
  </si>
  <si>
    <t>[024120]</t>
  </si>
  <si>
    <t>KB오토시스</t>
  </si>
  <si>
    <t>[024880]</t>
  </si>
  <si>
    <t>케이피에프</t>
  </si>
  <si>
    <t>[004000]</t>
  </si>
  <si>
    <t>[004090]</t>
  </si>
  <si>
    <t>한국석유공업</t>
  </si>
  <si>
    <t>[025550]</t>
  </si>
  <si>
    <t>한국선재</t>
  </si>
  <si>
    <t>[024840]</t>
  </si>
  <si>
    <t>[002200]</t>
  </si>
  <si>
    <t>한국수출포장공업</t>
  </si>
  <si>
    <t>[002960]</t>
  </si>
  <si>
    <t>한국쉘석유</t>
  </si>
  <si>
    <t>[033170]</t>
  </si>
  <si>
    <t>시그네틱스</t>
  </si>
  <si>
    <t>[034310]</t>
  </si>
  <si>
    <t>NICE</t>
  </si>
  <si>
    <t>[030190]</t>
  </si>
  <si>
    <t>NICE평가정보</t>
  </si>
  <si>
    <t>[012750]</t>
  </si>
  <si>
    <t>에스원</t>
  </si>
  <si>
    <t>[017890]</t>
  </si>
  <si>
    <t>한국알콜</t>
  </si>
  <si>
    <t>[033270]</t>
  </si>
  <si>
    <t>유나이티드</t>
  </si>
  <si>
    <t>[017670]</t>
  </si>
  <si>
    <t>SK텔레콤</t>
  </si>
  <si>
    <t>[015760]</t>
  </si>
  <si>
    <t>한국전력공사</t>
  </si>
  <si>
    <t>[052690]</t>
  </si>
  <si>
    <t>한전기술</t>
  </si>
  <si>
    <t>[051600]</t>
  </si>
  <si>
    <t>한전KPS</t>
  </si>
  <si>
    <t>[006200]</t>
  </si>
  <si>
    <t>한국전자홀딩스</t>
  </si>
  <si>
    <t>[023890]</t>
  </si>
  <si>
    <t>[025770]</t>
  </si>
  <si>
    <t>한국정보통신</t>
  </si>
  <si>
    <t>[002300]</t>
  </si>
  <si>
    <t>한국제지</t>
  </si>
  <si>
    <t>[023350]</t>
  </si>
  <si>
    <t>한국종합기술</t>
  </si>
  <si>
    <t>[025890]</t>
  </si>
  <si>
    <t>한국주강</t>
  </si>
  <si>
    <t>[034020]</t>
  </si>
  <si>
    <t>두산중공업</t>
  </si>
  <si>
    <t>[071320]</t>
  </si>
  <si>
    <t>지역난방공사</t>
  </si>
  <si>
    <t>[001940]</t>
  </si>
  <si>
    <t>KISCO홀딩스</t>
  </si>
  <si>
    <t>[014830]</t>
  </si>
  <si>
    <t>유니드</t>
  </si>
  <si>
    <t>[017960]</t>
  </si>
  <si>
    <t>한국카본</t>
  </si>
  <si>
    <t>[006380]</t>
  </si>
  <si>
    <t>카프로</t>
  </si>
  <si>
    <t>[009440]</t>
  </si>
  <si>
    <t>KC그린홀딩스</t>
  </si>
  <si>
    <t>[021650]</t>
  </si>
  <si>
    <t>한국큐빅</t>
  </si>
  <si>
    <t>[000240]</t>
  </si>
  <si>
    <t>[010040]</t>
  </si>
  <si>
    <t>한국내화</t>
  </si>
  <si>
    <t>[044450]</t>
  </si>
  <si>
    <t>KSS해운</t>
  </si>
  <si>
    <t>[005420]</t>
  </si>
  <si>
    <t>코스모화학</t>
  </si>
  <si>
    <t>[010640]</t>
  </si>
  <si>
    <t>진양폴리우레탄</t>
  </si>
  <si>
    <t>[010100]</t>
  </si>
  <si>
    <t>한국프랜지공업</t>
  </si>
  <si>
    <t>[000880]</t>
  </si>
  <si>
    <t>한화</t>
  </si>
  <si>
    <t>[003350]</t>
  </si>
  <si>
    <t>한국화장품제조</t>
  </si>
  <si>
    <t>[000990]</t>
  </si>
  <si>
    <t>[011500]</t>
  </si>
  <si>
    <t>한농화성</t>
  </si>
  <si>
    <t>[002390]</t>
  </si>
  <si>
    <t>한독</t>
  </si>
  <si>
    <t>[014790]</t>
  </si>
  <si>
    <t>한라</t>
  </si>
  <si>
    <t>[018880]</t>
  </si>
  <si>
    <t>한온시스템</t>
  </si>
  <si>
    <t>[042700]</t>
  </si>
  <si>
    <t>한미반도체</t>
  </si>
  <si>
    <t>[008930]</t>
  </si>
  <si>
    <t>한미사이언스</t>
  </si>
  <si>
    <t>[021080]</t>
  </si>
  <si>
    <t>에이티넘인베스트</t>
  </si>
  <si>
    <t>[009240]</t>
  </si>
  <si>
    <t>한샘</t>
  </si>
  <si>
    <t>[016800]</t>
  </si>
  <si>
    <t>퍼시스</t>
  </si>
  <si>
    <t>[025980]</t>
  </si>
  <si>
    <t>[003680]</t>
  </si>
  <si>
    <t>한성기업</t>
  </si>
  <si>
    <t>[016450]</t>
  </si>
  <si>
    <t>한세예스24홀딩스</t>
  </si>
  <si>
    <t>[004960]</t>
  </si>
  <si>
    <t>한신공영</t>
  </si>
  <si>
    <t>[011700]</t>
  </si>
  <si>
    <t>한신기계공업</t>
  </si>
  <si>
    <t>[009830]</t>
  </si>
  <si>
    <t>[009420]</t>
  </si>
  <si>
    <t>한올바이오파마</t>
  </si>
  <si>
    <t>[024740]</t>
  </si>
  <si>
    <t>한일단조</t>
  </si>
  <si>
    <t>[005860]</t>
  </si>
  <si>
    <t>한일사료</t>
  </si>
  <si>
    <t>[003300]</t>
  </si>
  <si>
    <t>한일시멘트</t>
  </si>
  <si>
    <t>[007860]</t>
  </si>
  <si>
    <t>서연</t>
  </si>
  <si>
    <t>[002220]</t>
  </si>
  <si>
    <t>한일철강</t>
  </si>
  <si>
    <t>[006920]</t>
  </si>
  <si>
    <t>모헨즈</t>
  </si>
  <si>
    <t>[012030]</t>
  </si>
  <si>
    <t>[002320]</t>
  </si>
  <si>
    <t>한진</t>
  </si>
  <si>
    <t>[003480]</t>
  </si>
  <si>
    <t>한진중공업홀딩스</t>
  </si>
  <si>
    <t>[000700]</t>
  </si>
  <si>
    <t>유수홀딩스</t>
  </si>
  <si>
    <t>[005110]</t>
  </si>
  <si>
    <t>한창</t>
  </si>
  <si>
    <t>[009460]</t>
  </si>
  <si>
    <t>한창제지</t>
  </si>
  <si>
    <t>[008800]</t>
  </si>
  <si>
    <t>[000720]</t>
  </si>
  <si>
    <t>현대건설</t>
  </si>
  <si>
    <t>[170030]</t>
  </si>
  <si>
    <t>현대공업</t>
  </si>
  <si>
    <t>[010620]</t>
  </si>
  <si>
    <t>현대미포조선</t>
  </si>
  <si>
    <t>[012630]</t>
  </si>
  <si>
    <t>[011200]</t>
  </si>
  <si>
    <t>[006390]</t>
  </si>
  <si>
    <t>[004310]</t>
  </si>
  <si>
    <t>현대약품</t>
  </si>
  <si>
    <t>[017800]</t>
  </si>
  <si>
    <t>현대엘리베이터</t>
  </si>
  <si>
    <t>[005380]</t>
  </si>
  <si>
    <t>현대자동차</t>
  </si>
  <si>
    <t>[000660]</t>
  </si>
  <si>
    <t>SK하이닉스</t>
  </si>
  <si>
    <t>[012330]</t>
  </si>
  <si>
    <t>현대모비스</t>
  </si>
  <si>
    <t>[011760]</t>
  </si>
  <si>
    <t>현대종합상사</t>
  </si>
  <si>
    <t>[009540]</t>
  </si>
  <si>
    <t>[013030]</t>
  </si>
  <si>
    <t>하이록코리아</t>
  </si>
  <si>
    <t>[005670]</t>
  </si>
  <si>
    <t>푸드웰</t>
  </si>
  <si>
    <t>[003010]</t>
  </si>
  <si>
    <t>혜인</t>
  </si>
  <si>
    <t>[011170]</t>
  </si>
  <si>
    <t>롯데케미칼</t>
  </si>
  <si>
    <t>[017940]</t>
  </si>
  <si>
    <t>E1</t>
  </si>
  <si>
    <t>[008770]</t>
  </si>
  <si>
    <t>호텔신라</t>
  </si>
  <si>
    <t>[021040]</t>
  </si>
  <si>
    <t>대호피앤씨</t>
  </si>
  <si>
    <t>[006060]</t>
  </si>
  <si>
    <t>화승인더스트리</t>
  </si>
  <si>
    <t>[013520]</t>
  </si>
  <si>
    <t>화승알앤에이</t>
  </si>
  <si>
    <t>[010690]</t>
  </si>
  <si>
    <t>화신</t>
  </si>
  <si>
    <t>[086250]</t>
  </si>
  <si>
    <t>[010660]</t>
  </si>
  <si>
    <t>화천기계</t>
  </si>
  <si>
    <t>[000850]</t>
  </si>
  <si>
    <t>화천기공</t>
  </si>
  <si>
    <t>[100660]</t>
  </si>
  <si>
    <t>서암기계공업</t>
  </si>
  <si>
    <t>[016580]</t>
  </si>
  <si>
    <t>환인제약</t>
  </si>
  <si>
    <t>[024060]</t>
  </si>
  <si>
    <t>흥구석유</t>
  </si>
  <si>
    <t>[010240]</t>
  </si>
  <si>
    <t>흥국</t>
  </si>
  <si>
    <t>[005720]</t>
  </si>
  <si>
    <t>넥센</t>
  </si>
  <si>
    <t>[003280]</t>
  </si>
  <si>
    <t>흥아해운</t>
  </si>
  <si>
    <t>[007630]</t>
  </si>
  <si>
    <t>[005320]</t>
  </si>
  <si>
    <t>국동</t>
  </si>
  <si>
    <t>[003580]</t>
  </si>
  <si>
    <t>[019990]</t>
  </si>
  <si>
    <t>에너토크</t>
  </si>
  <si>
    <t>[020710]</t>
  </si>
  <si>
    <t>시공테크</t>
  </si>
  <si>
    <t>[021240]</t>
  </si>
  <si>
    <t>코웨이</t>
  </si>
  <si>
    <t>[018120]</t>
  </si>
  <si>
    <t>진로발효</t>
  </si>
  <si>
    <t>[034230]</t>
  </si>
  <si>
    <t>파라다이스</t>
  </si>
  <si>
    <t>[004150]</t>
  </si>
  <si>
    <t>한솔홀딩스</t>
  </si>
  <si>
    <t>[042110]</t>
  </si>
  <si>
    <t>에스씨디</t>
  </si>
  <si>
    <t>[046210]</t>
  </si>
  <si>
    <t>파나진</t>
  </si>
  <si>
    <t>[004270]</t>
  </si>
  <si>
    <t>남성</t>
  </si>
  <si>
    <t>[085310]</t>
  </si>
  <si>
    <t>엔케이</t>
  </si>
  <si>
    <t>[012510]</t>
  </si>
  <si>
    <t>더존비즈온</t>
  </si>
  <si>
    <t>[005160]</t>
  </si>
  <si>
    <t>동국산업</t>
  </si>
  <si>
    <t>[004890]</t>
  </si>
  <si>
    <t>동일산업</t>
  </si>
  <si>
    <t>[023790]</t>
  </si>
  <si>
    <t>동일철강</t>
  </si>
  <si>
    <t>[012690]</t>
  </si>
  <si>
    <t>모나리자</t>
  </si>
  <si>
    <t>[032750]</t>
  </si>
  <si>
    <t>삼진</t>
  </si>
  <si>
    <t>[044480]</t>
  </si>
  <si>
    <t>[024830]</t>
  </si>
  <si>
    <t>세원물산</t>
  </si>
  <si>
    <t>[002700]</t>
  </si>
  <si>
    <t>[005450]</t>
  </si>
  <si>
    <t>신한</t>
  </si>
  <si>
    <t>[004080]</t>
  </si>
  <si>
    <t>신흥</t>
  </si>
  <si>
    <t>[002350]</t>
  </si>
  <si>
    <t>넥센타이어</t>
  </si>
  <si>
    <t>[105840]</t>
  </si>
  <si>
    <t>우진</t>
  </si>
  <si>
    <t>[024800]</t>
  </si>
  <si>
    <t>유성티엔에스</t>
  </si>
  <si>
    <t>[002920]</t>
  </si>
  <si>
    <t>유성기업</t>
  </si>
  <si>
    <t>[036890]</t>
  </si>
  <si>
    <t>진성티이씨</t>
  </si>
  <si>
    <t>[002460]</t>
  </si>
  <si>
    <t>화성산업</t>
  </si>
  <si>
    <t>[031510]</t>
  </si>
  <si>
    <t>오스템</t>
  </si>
  <si>
    <t>[050120]</t>
  </si>
  <si>
    <t>라이브플렉스</t>
  </si>
  <si>
    <t>[036190]</t>
  </si>
  <si>
    <t>금화피에스시</t>
  </si>
  <si>
    <t>[054050]</t>
  </si>
  <si>
    <t>농우바이오</t>
  </si>
  <si>
    <t>[023590]</t>
  </si>
  <si>
    <t>다우기술</t>
  </si>
  <si>
    <t>[024090]</t>
  </si>
  <si>
    <t>디씨엠</t>
  </si>
  <si>
    <t>[036480]</t>
  </si>
  <si>
    <t>대성미생물</t>
  </si>
  <si>
    <t>[078600]</t>
  </si>
  <si>
    <t>대주전자재료</t>
  </si>
  <si>
    <t>[096350]</t>
  </si>
  <si>
    <t>대창솔루션</t>
  </si>
  <si>
    <t>[028100]</t>
  </si>
  <si>
    <t>동아지질</t>
  </si>
  <si>
    <t>[079960]</t>
  </si>
  <si>
    <t>동양이엔피</t>
  </si>
  <si>
    <t>[060380]</t>
  </si>
  <si>
    <t>동양에스텍</t>
  </si>
  <si>
    <t>[016100]</t>
  </si>
  <si>
    <t>[023810]</t>
  </si>
  <si>
    <t>인팩</t>
  </si>
  <si>
    <t>[031860]</t>
  </si>
  <si>
    <t>[089980]</t>
  </si>
  <si>
    <t>상아프론테크</t>
  </si>
  <si>
    <t>[034730]</t>
  </si>
  <si>
    <t>SK</t>
  </si>
  <si>
    <t>[025530]</t>
  </si>
  <si>
    <t>에스제이엠홀딩스</t>
  </si>
  <si>
    <t>[023410]</t>
  </si>
  <si>
    <t>유진기업</t>
  </si>
  <si>
    <t>[039020]</t>
  </si>
  <si>
    <t>[048550]</t>
  </si>
  <si>
    <t>SM C&amp;C</t>
  </si>
  <si>
    <t>[045520]</t>
  </si>
  <si>
    <t>크린앤사이언스</t>
  </si>
  <si>
    <t>[033100]</t>
  </si>
  <si>
    <t>제룡전기</t>
  </si>
  <si>
    <t>[052670]</t>
  </si>
  <si>
    <t>제일바이오</t>
  </si>
  <si>
    <t>[029480]</t>
  </si>
  <si>
    <t>[031820]</t>
  </si>
  <si>
    <t>콤텍시스템</t>
  </si>
  <si>
    <t>[053620]</t>
  </si>
  <si>
    <t>태양</t>
  </si>
  <si>
    <t>[044490]</t>
  </si>
  <si>
    <t>태웅</t>
  </si>
  <si>
    <t>[026150]</t>
  </si>
  <si>
    <t>특수건설</t>
  </si>
  <si>
    <t>[041960]</t>
  </si>
  <si>
    <t>코미팜</t>
  </si>
  <si>
    <t>[015710]</t>
  </si>
  <si>
    <t>코콤</t>
  </si>
  <si>
    <t>[020000]</t>
  </si>
  <si>
    <t>한섬</t>
  </si>
  <si>
    <t>[119500]</t>
  </si>
  <si>
    <t>포메탈</t>
  </si>
  <si>
    <t>[061250]</t>
  </si>
  <si>
    <t>화일약품</t>
  </si>
  <si>
    <t>[032580]</t>
  </si>
  <si>
    <t>피델릭스</t>
  </si>
  <si>
    <t>[030200]</t>
  </si>
  <si>
    <t>케이티</t>
  </si>
  <si>
    <t>[067900]</t>
  </si>
  <si>
    <t>와이엔텍</t>
  </si>
  <si>
    <t>[020400]</t>
  </si>
  <si>
    <t>대동금속</t>
  </si>
  <si>
    <t>[025000]</t>
  </si>
  <si>
    <t>KPX케미칼</t>
  </si>
  <si>
    <t>[023000]</t>
  </si>
  <si>
    <t>삼원강재</t>
  </si>
  <si>
    <t>[027710]</t>
  </si>
  <si>
    <t>팜스토리</t>
  </si>
  <si>
    <t>[033180]</t>
  </si>
  <si>
    <t>필룩스</t>
  </si>
  <si>
    <t>[033110]</t>
  </si>
  <si>
    <t>[130660]</t>
  </si>
  <si>
    <t>한전산업</t>
  </si>
  <si>
    <t>[081660]</t>
  </si>
  <si>
    <t>[029960]</t>
  </si>
  <si>
    <t>코엔텍</t>
  </si>
  <si>
    <t>[025560]</t>
  </si>
  <si>
    <t>미래산업</t>
  </si>
  <si>
    <t>[037230]</t>
  </si>
  <si>
    <t>한국팩키지</t>
  </si>
  <si>
    <t>[031390]</t>
  </si>
  <si>
    <t>녹십자셀</t>
  </si>
  <si>
    <t>[020760]</t>
  </si>
  <si>
    <t>일진디스플</t>
  </si>
  <si>
    <t>[032960]</t>
  </si>
  <si>
    <t>동일기연</t>
  </si>
  <si>
    <t>[028300]</t>
  </si>
  <si>
    <t>에이치엘비</t>
  </si>
  <si>
    <t>[041930]</t>
  </si>
  <si>
    <t>동아화성</t>
  </si>
  <si>
    <t>[040300]</t>
  </si>
  <si>
    <t>YTN</t>
  </si>
  <si>
    <t>[031310]</t>
  </si>
  <si>
    <t>아이즈비전</t>
  </si>
  <si>
    <t>[032080]</t>
  </si>
  <si>
    <t>아즈텍WB</t>
  </si>
  <si>
    <t>[068400]</t>
  </si>
  <si>
    <t>[032540]</t>
  </si>
  <si>
    <t>TJ미디어</t>
  </si>
  <si>
    <t>[048430]</t>
  </si>
  <si>
    <t>유라테크</t>
  </si>
  <si>
    <t>[065620]</t>
  </si>
  <si>
    <t>제낙스</t>
  </si>
  <si>
    <t>[053270]</t>
  </si>
  <si>
    <t>구영테크</t>
  </si>
  <si>
    <t>[079170]</t>
  </si>
  <si>
    <t>한창산업</t>
  </si>
  <si>
    <t>[025320]</t>
  </si>
  <si>
    <t>시노펙스</t>
  </si>
  <si>
    <t>[043340]</t>
  </si>
  <si>
    <t>에쎈테크</t>
  </si>
  <si>
    <t>[024720]</t>
  </si>
  <si>
    <t>한국콜마홀딩스</t>
  </si>
  <si>
    <t>[036420]</t>
  </si>
  <si>
    <t>제이콘텐트리</t>
  </si>
  <si>
    <t>[060480]</t>
  </si>
  <si>
    <t>국일신동</t>
  </si>
  <si>
    <t>[027740]</t>
  </si>
  <si>
    <t>마니커</t>
  </si>
  <si>
    <t>[032680]</t>
  </si>
  <si>
    <t>소프트센</t>
  </si>
  <si>
    <t>[030520]</t>
  </si>
  <si>
    <t>한글과컴퓨터</t>
  </si>
  <si>
    <t>[033830]</t>
  </si>
  <si>
    <t>티비씨</t>
  </si>
  <si>
    <t>[033340]</t>
  </si>
  <si>
    <t>좋은사람들</t>
  </si>
  <si>
    <t>[032860]</t>
  </si>
  <si>
    <t>[039240]</t>
  </si>
  <si>
    <t>경남스틸</t>
  </si>
  <si>
    <t>[054210]</t>
  </si>
  <si>
    <t>이랜텍</t>
  </si>
  <si>
    <t>[042040]</t>
  </si>
  <si>
    <t>케이피엠테크</t>
  </si>
  <si>
    <t>[054670]</t>
  </si>
  <si>
    <t>대한뉴팜</t>
  </si>
  <si>
    <t>[028150]</t>
  </si>
  <si>
    <t>GS홈쇼핑</t>
  </si>
  <si>
    <t>[058400]</t>
  </si>
  <si>
    <t>KNN</t>
  </si>
  <si>
    <t>[031980]</t>
  </si>
  <si>
    <t>피에스케이</t>
  </si>
  <si>
    <t>[029460]</t>
  </si>
  <si>
    <t>케이씨텍</t>
  </si>
  <si>
    <t>[067080]</t>
  </si>
  <si>
    <t>대화제약</t>
  </si>
  <si>
    <t>[071950]</t>
  </si>
  <si>
    <t>코아스</t>
  </si>
  <si>
    <t>[032940]</t>
  </si>
  <si>
    <t>원익</t>
  </si>
  <si>
    <t>[038340]</t>
  </si>
  <si>
    <t>[053030]</t>
  </si>
  <si>
    <t>바이넥스</t>
  </si>
  <si>
    <t>[037350]</t>
  </si>
  <si>
    <t>성도이엔지</t>
  </si>
  <si>
    <t>[030530]</t>
  </si>
  <si>
    <t>원익IPS</t>
  </si>
  <si>
    <t>[045100]</t>
  </si>
  <si>
    <t>한양이엔지</t>
  </si>
  <si>
    <t>[034300]</t>
  </si>
  <si>
    <t>신세계건설</t>
  </si>
  <si>
    <t>[032560]</t>
  </si>
  <si>
    <t>황금에스티</t>
  </si>
  <si>
    <t>[027410]</t>
  </si>
  <si>
    <t>BGF리테일</t>
  </si>
  <si>
    <t>[034810]</t>
  </si>
  <si>
    <t>해성산업</t>
  </si>
  <si>
    <t>[028080]</t>
  </si>
  <si>
    <t>휴맥스홀딩스</t>
  </si>
  <si>
    <t>[035510]</t>
  </si>
  <si>
    <t>신세계I&amp;C</t>
  </si>
  <si>
    <t>[044820]</t>
  </si>
  <si>
    <t>코스맥스비티아이</t>
  </si>
  <si>
    <t>[035890]</t>
  </si>
  <si>
    <t>서희건설</t>
  </si>
  <si>
    <t>[032620]</t>
  </si>
  <si>
    <t>유비케어</t>
  </si>
  <si>
    <t>[043100]</t>
  </si>
  <si>
    <t>솔고바이오</t>
  </si>
  <si>
    <t>[037710]</t>
  </si>
  <si>
    <t>광주신세계</t>
  </si>
  <si>
    <t>[065710]</t>
  </si>
  <si>
    <t>서호전기</t>
  </si>
  <si>
    <t>[058610]</t>
  </si>
  <si>
    <t>에스피지</t>
  </si>
  <si>
    <t>[045060]</t>
  </si>
  <si>
    <t>오공</t>
  </si>
  <si>
    <t>[066130]</t>
  </si>
  <si>
    <t>하츠</t>
  </si>
  <si>
    <t>[033050]</t>
  </si>
  <si>
    <t>제이엠아이</t>
  </si>
  <si>
    <t>[037560]</t>
  </si>
  <si>
    <t>[036810]</t>
  </si>
  <si>
    <t>에프에스티</t>
  </si>
  <si>
    <t>[033320]</t>
  </si>
  <si>
    <t>제이씨현시스템</t>
  </si>
  <si>
    <t>[043610]</t>
  </si>
  <si>
    <t>[036530]</t>
  </si>
  <si>
    <t>S&amp;T홀딩스</t>
  </si>
  <si>
    <t>[060370]</t>
  </si>
  <si>
    <t>KT서브마린</t>
  </si>
  <si>
    <t>[066110]</t>
  </si>
  <si>
    <t>[032500]</t>
  </si>
  <si>
    <t>케이엠더블유</t>
  </si>
  <si>
    <t>[053980]</t>
  </si>
  <si>
    <t>오상자이엘</t>
  </si>
  <si>
    <t>[049070]</t>
  </si>
  <si>
    <t>인탑스</t>
  </si>
  <si>
    <t>[033640]</t>
  </si>
  <si>
    <t>네패스</t>
  </si>
  <si>
    <t>[084110]</t>
  </si>
  <si>
    <t>휴온스</t>
  </si>
  <si>
    <t>[056700]</t>
  </si>
  <si>
    <t>신화인터텍</t>
  </si>
  <si>
    <t>[041440]</t>
  </si>
  <si>
    <t>에버다임</t>
  </si>
  <si>
    <t>[088910]</t>
  </si>
  <si>
    <t>[033230]</t>
  </si>
  <si>
    <t>인성정보</t>
  </si>
  <si>
    <t>[030350]</t>
  </si>
  <si>
    <t>드래곤플라이</t>
  </si>
  <si>
    <t>[039860]</t>
  </si>
  <si>
    <t>나노엔텍</t>
  </si>
  <si>
    <t>[078590]</t>
  </si>
  <si>
    <t>두올산업</t>
  </si>
  <si>
    <t>[036640]</t>
  </si>
  <si>
    <t>HRS</t>
  </si>
  <si>
    <t>[032820]</t>
  </si>
  <si>
    <t>우리기술</t>
  </si>
  <si>
    <t>[033500]</t>
  </si>
  <si>
    <t>동성화인텍</t>
  </si>
  <si>
    <t>[032640]</t>
  </si>
  <si>
    <t>LG유플러스</t>
  </si>
  <si>
    <t>[032350]</t>
  </si>
  <si>
    <t>롯데관광개발</t>
  </si>
  <si>
    <t>[033130]</t>
  </si>
  <si>
    <t>디지틀조선</t>
  </si>
  <si>
    <t>[032800]</t>
  </si>
  <si>
    <t>판타지오</t>
  </si>
  <si>
    <t>[032850]</t>
  </si>
  <si>
    <t>비트컴퓨터</t>
  </si>
  <si>
    <t>[034940]</t>
  </si>
  <si>
    <t>조아제약</t>
  </si>
  <si>
    <t>[042940]</t>
  </si>
  <si>
    <t>[032980]</t>
  </si>
  <si>
    <t>[036170]</t>
  </si>
  <si>
    <t>[056080]</t>
  </si>
  <si>
    <t>유진로봇</t>
  </si>
  <si>
    <t>[031430]</t>
  </si>
  <si>
    <t>신세계인터내셔날</t>
  </si>
  <si>
    <t>[073070]</t>
  </si>
  <si>
    <t>[044780]</t>
  </si>
  <si>
    <t>에이치케이</t>
  </si>
  <si>
    <t>[037440]</t>
  </si>
  <si>
    <t>희림</t>
  </si>
  <si>
    <t>[033560]</t>
  </si>
  <si>
    <t>블루콤</t>
  </si>
  <si>
    <t>[037070]</t>
  </si>
  <si>
    <t>파세코</t>
  </si>
  <si>
    <t>[067730]</t>
  </si>
  <si>
    <t>로지시스</t>
  </si>
  <si>
    <t>[032190]</t>
  </si>
  <si>
    <t>다우데이타</t>
  </si>
  <si>
    <t>[134780]</t>
  </si>
  <si>
    <t>화진</t>
  </si>
  <si>
    <t>[054090]</t>
  </si>
  <si>
    <t>삼진엘앤디</t>
  </si>
  <si>
    <t>[037760]</t>
  </si>
  <si>
    <t>쎄니트</t>
  </si>
  <si>
    <t>[038500]</t>
  </si>
  <si>
    <t>[038460]</t>
  </si>
  <si>
    <t>바이오스마트</t>
  </si>
  <si>
    <t>[138490]</t>
  </si>
  <si>
    <t>코오롱플라스틱</t>
  </si>
  <si>
    <t>[033200]</t>
  </si>
  <si>
    <t>모아텍</t>
  </si>
  <si>
    <t>[035810]</t>
  </si>
  <si>
    <t>이지바이오</t>
  </si>
  <si>
    <t>[037950]</t>
  </si>
  <si>
    <t>엘컴텍</t>
  </si>
  <si>
    <t>[083550]</t>
  </si>
  <si>
    <t>케이엠</t>
  </si>
  <si>
    <t>[014470]</t>
  </si>
  <si>
    <t>부방</t>
  </si>
  <si>
    <t>[039290]</t>
  </si>
  <si>
    <t>인포뱅크</t>
  </si>
  <si>
    <t>[084180]</t>
  </si>
  <si>
    <t>수성</t>
  </si>
  <si>
    <t>[033430]</t>
  </si>
  <si>
    <t>[033780]</t>
  </si>
  <si>
    <t>케이티앤지</t>
  </si>
  <si>
    <t>[035080]</t>
  </si>
  <si>
    <t>인터파크홀딩스</t>
  </si>
  <si>
    <t>[052600]</t>
  </si>
  <si>
    <t>한네트</t>
  </si>
  <si>
    <t>[064760]</t>
  </si>
  <si>
    <t>티씨케이</t>
  </si>
  <si>
    <t>[050320]</t>
  </si>
  <si>
    <t>[039030]</t>
  </si>
  <si>
    <t>이오테크닉스</t>
  </si>
  <si>
    <t>[039420]</t>
  </si>
  <si>
    <t>케이엘넷</t>
  </si>
  <si>
    <t>[036830]</t>
  </si>
  <si>
    <t>솔브레인</t>
  </si>
  <si>
    <t>[037270]</t>
  </si>
  <si>
    <t>YG PLUS</t>
  </si>
  <si>
    <t>[066790]</t>
  </si>
  <si>
    <t>씨씨에스</t>
  </si>
  <si>
    <t>[035290]</t>
  </si>
  <si>
    <t>[066700]</t>
  </si>
  <si>
    <t>테라젠이텍스</t>
  </si>
  <si>
    <t>[035610]</t>
  </si>
  <si>
    <t>솔본</t>
  </si>
  <si>
    <t>[065530]</t>
  </si>
  <si>
    <t>전파기지국</t>
  </si>
  <si>
    <t>[054540]</t>
  </si>
  <si>
    <t>삼영엠텍</t>
  </si>
  <si>
    <t>[120240]</t>
  </si>
  <si>
    <t>대정화금</t>
  </si>
  <si>
    <t>[036930]</t>
  </si>
  <si>
    <t>주성엔지니어링</t>
  </si>
  <si>
    <t>[038880]</t>
  </si>
  <si>
    <t>아이에이</t>
  </si>
  <si>
    <t>[066620]</t>
  </si>
  <si>
    <t>국보디자인</t>
  </si>
  <si>
    <t>[039010]</t>
  </si>
  <si>
    <t>현대통신</t>
  </si>
  <si>
    <t>[038530]</t>
  </si>
  <si>
    <t>[078150]</t>
  </si>
  <si>
    <t>HB테크놀러지</t>
  </si>
  <si>
    <t>[042510]</t>
  </si>
  <si>
    <t>라온시큐어</t>
  </si>
  <si>
    <t>[035250]</t>
  </si>
  <si>
    <t>강원랜드</t>
  </si>
  <si>
    <t>[200780]</t>
  </si>
  <si>
    <t>비씨월드제약</t>
  </si>
  <si>
    <t>[049520]</t>
  </si>
  <si>
    <t>유아이엘</t>
  </si>
  <si>
    <t>[045660]</t>
  </si>
  <si>
    <t>에이텍</t>
  </si>
  <si>
    <t>[043650]</t>
  </si>
  <si>
    <t>국순당</t>
  </si>
  <si>
    <t>[036180]</t>
  </si>
  <si>
    <t>[101680]</t>
  </si>
  <si>
    <t>한국정밀기계</t>
  </si>
  <si>
    <t>[065060]</t>
  </si>
  <si>
    <t>지엔코</t>
  </si>
  <si>
    <t>[036090]</t>
  </si>
  <si>
    <t>위지트</t>
  </si>
  <si>
    <t>[035460]</t>
  </si>
  <si>
    <t>기산텔레콤</t>
  </si>
  <si>
    <t>[035900]</t>
  </si>
  <si>
    <t>JYP Ent.</t>
  </si>
  <si>
    <t>[035720]</t>
  </si>
  <si>
    <t>카카오</t>
  </si>
  <si>
    <t>[123040]</t>
  </si>
  <si>
    <t>엠에스오토텍</t>
  </si>
  <si>
    <t>[035620]</t>
  </si>
  <si>
    <t>바른손이앤에이</t>
  </si>
  <si>
    <t>[036000]</t>
  </si>
  <si>
    <t>예림당</t>
  </si>
  <si>
    <t>[006650]</t>
  </si>
  <si>
    <t>대한유화</t>
  </si>
  <si>
    <t>[006340]</t>
  </si>
  <si>
    <t>대원전선</t>
  </si>
  <si>
    <t>[036580]</t>
  </si>
  <si>
    <t>팜스코</t>
  </si>
  <si>
    <t>[036200]</t>
  </si>
  <si>
    <t>유니셈</t>
  </si>
  <si>
    <t>[043590]</t>
  </si>
  <si>
    <t>크로바하이텍</t>
  </si>
  <si>
    <t>[036120]</t>
  </si>
  <si>
    <t>[041510]</t>
  </si>
  <si>
    <t>에스엠</t>
  </si>
  <si>
    <t>[036030]</t>
  </si>
  <si>
    <t>KTH</t>
  </si>
  <si>
    <t>[036620]</t>
  </si>
  <si>
    <t>버추얼텍</t>
  </si>
  <si>
    <t>[037370]</t>
  </si>
  <si>
    <t>EG</t>
  </si>
  <si>
    <t>[036460]</t>
  </si>
  <si>
    <t>한국가스공사</t>
  </si>
  <si>
    <t>[038390]</t>
  </si>
  <si>
    <t>레드캡투어</t>
  </si>
  <si>
    <t>[038290]</t>
  </si>
  <si>
    <t>마크로젠</t>
  </si>
  <si>
    <t>[036570]</t>
  </si>
  <si>
    <t>엔씨소프트</t>
  </si>
  <si>
    <t>[049550]</t>
  </si>
  <si>
    <t>잉크테크</t>
  </si>
  <si>
    <t>[062860]</t>
  </si>
  <si>
    <t>티엘아이</t>
  </si>
  <si>
    <t>[039740]</t>
  </si>
  <si>
    <t>한국정보공학</t>
  </si>
  <si>
    <t>[039340]</t>
  </si>
  <si>
    <t>한국경제TV</t>
  </si>
  <si>
    <t>[039200]</t>
  </si>
  <si>
    <t>오스코텍</t>
  </si>
  <si>
    <t>[038620]</t>
  </si>
  <si>
    <t>위즈코프</t>
  </si>
  <si>
    <t>[043150]</t>
  </si>
  <si>
    <t>바텍</t>
  </si>
  <si>
    <t>[035600]</t>
  </si>
  <si>
    <t>KG이니시스</t>
  </si>
  <si>
    <t>[038680]</t>
  </si>
  <si>
    <t>에스넷</t>
  </si>
  <si>
    <t>[039310]</t>
  </si>
  <si>
    <t>세중</t>
  </si>
  <si>
    <t>[040610]</t>
  </si>
  <si>
    <t>SG&amp;G</t>
  </si>
  <si>
    <t>[038950]</t>
  </si>
  <si>
    <t>파인디지털</t>
  </si>
  <si>
    <t>[036800]</t>
  </si>
  <si>
    <t>나이스정보통신</t>
  </si>
  <si>
    <t>[057540]</t>
  </si>
  <si>
    <t>옴니시스템</t>
  </si>
  <si>
    <t>[036670]</t>
  </si>
  <si>
    <t>KCI</t>
  </si>
  <si>
    <t>[035760]</t>
  </si>
  <si>
    <t>[037330]</t>
  </si>
  <si>
    <t>인지디스플레</t>
  </si>
  <si>
    <t>[043200]</t>
  </si>
  <si>
    <t>파루</t>
  </si>
  <si>
    <t>[041140]</t>
  </si>
  <si>
    <t>넥슨지티</t>
  </si>
  <si>
    <t>[042420]</t>
  </si>
  <si>
    <t>네오위즈홀딩스</t>
  </si>
  <si>
    <t>[035420]</t>
  </si>
  <si>
    <t>NAVER</t>
  </si>
  <si>
    <t>[014100]</t>
  </si>
  <si>
    <t>[006910]</t>
  </si>
  <si>
    <t>보성파워텍</t>
  </si>
  <si>
    <t>[019010]</t>
  </si>
  <si>
    <t>[007770]</t>
  </si>
  <si>
    <t>한일화학</t>
  </si>
  <si>
    <t>[036630]</t>
  </si>
  <si>
    <t>세종텔레콤</t>
  </si>
  <si>
    <t>[036690]</t>
  </si>
  <si>
    <t>코맥스</t>
  </si>
  <si>
    <t>[039560]</t>
  </si>
  <si>
    <t>다산네트웍스</t>
  </si>
  <si>
    <t>[044380]</t>
  </si>
  <si>
    <t>주연테크</t>
  </si>
  <si>
    <t>[047310]</t>
  </si>
  <si>
    <t>파워로직스</t>
  </si>
  <si>
    <t>[041020]</t>
  </si>
  <si>
    <t>인프라웨어</t>
  </si>
  <si>
    <t>[040160]</t>
  </si>
  <si>
    <t>누리텔레콤</t>
  </si>
  <si>
    <t>[041830]</t>
  </si>
  <si>
    <t>인바디</t>
  </si>
  <si>
    <t>[039130]</t>
  </si>
  <si>
    <t>하나투어</t>
  </si>
  <si>
    <t>[045970]</t>
  </si>
  <si>
    <t>[052020]</t>
  </si>
  <si>
    <t>에스티큐브</t>
  </si>
  <si>
    <t>[047560]</t>
  </si>
  <si>
    <t>이스트소프트</t>
  </si>
  <si>
    <t>[041920]</t>
  </si>
  <si>
    <t>메디아나</t>
  </si>
  <si>
    <t>[030790]</t>
  </si>
  <si>
    <t>[031440]</t>
  </si>
  <si>
    <t>신세계푸드</t>
  </si>
  <si>
    <t>[033790]</t>
  </si>
  <si>
    <t>[052900]</t>
  </si>
  <si>
    <t>[046110]</t>
  </si>
  <si>
    <t>한일네트웍스</t>
  </si>
  <si>
    <t>[046140]</t>
  </si>
  <si>
    <t>SBS콘텐츠허브</t>
  </si>
  <si>
    <t>[040420]</t>
  </si>
  <si>
    <t>정상제이엘에스</t>
  </si>
  <si>
    <t>[038870]</t>
  </si>
  <si>
    <t>[065570]</t>
  </si>
  <si>
    <t>삼영이엔씨</t>
  </si>
  <si>
    <t>[060560]</t>
  </si>
  <si>
    <t>[044060]</t>
  </si>
  <si>
    <t>조광ILI</t>
  </si>
  <si>
    <t>[048530]</t>
  </si>
  <si>
    <t>인트론바이오</t>
  </si>
  <si>
    <t>[044340]</t>
  </si>
  <si>
    <t>위닉스</t>
  </si>
  <si>
    <t>[039230]</t>
  </si>
  <si>
    <t>[043360]</t>
  </si>
  <si>
    <t>디지아이</t>
  </si>
  <si>
    <t>[046070]</t>
  </si>
  <si>
    <t>코다코</t>
  </si>
  <si>
    <t>[046970]</t>
  </si>
  <si>
    <t>우리로</t>
  </si>
  <si>
    <t>[054620]</t>
  </si>
  <si>
    <t>AP시스템</t>
  </si>
  <si>
    <t>[051390]</t>
  </si>
  <si>
    <t>YW</t>
  </si>
  <si>
    <t>[051780]</t>
  </si>
  <si>
    <t>큐로홀딩스</t>
  </si>
  <si>
    <t>[051490]</t>
  </si>
  <si>
    <t>나라엠앤디</t>
  </si>
  <si>
    <t>[041590]</t>
  </si>
  <si>
    <t>[051380]</t>
  </si>
  <si>
    <t>피씨디렉트</t>
  </si>
  <si>
    <t>[043290]</t>
  </si>
  <si>
    <t>케이맥</t>
  </si>
  <si>
    <t>[046120]</t>
  </si>
  <si>
    <t>오르비텍</t>
  </si>
  <si>
    <t>[053800]</t>
  </si>
  <si>
    <t>안랩</t>
  </si>
  <si>
    <t>[039440]</t>
  </si>
  <si>
    <t>에스티아이</t>
  </si>
  <si>
    <t>[040910]</t>
  </si>
  <si>
    <t>아이씨디</t>
  </si>
  <si>
    <t>[052710]</t>
  </si>
  <si>
    <t>아모텍</t>
  </si>
  <si>
    <t>[060980]</t>
  </si>
  <si>
    <t>한라홀딩스</t>
  </si>
  <si>
    <t>[102210]</t>
  </si>
  <si>
    <t>해덕파워웨이</t>
  </si>
  <si>
    <t>[047820]</t>
  </si>
  <si>
    <t>초록뱀</t>
  </si>
  <si>
    <t>[065500]</t>
  </si>
  <si>
    <t>오리엔트정공</t>
  </si>
  <si>
    <t>[079430]</t>
  </si>
  <si>
    <t>현대리바트</t>
  </si>
  <si>
    <t>[046390]</t>
  </si>
  <si>
    <t>삼화네트웍스</t>
  </si>
  <si>
    <t>[036540]</t>
  </si>
  <si>
    <t>[066590]</t>
  </si>
  <si>
    <t>우수AMS</t>
  </si>
  <si>
    <t>[050540]</t>
  </si>
  <si>
    <t>[054340]</t>
  </si>
  <si>
    <t>[071850]</t>
  </si>
  <si>
    <t>캐스텍코리아</t>
  </si>
  <si>
    <t>[064350]</t>
  </si>
  <si>
    <t>현대로템</t>
  </si>
  <si>
    <t>[066900]</t>
  </si>
  <si>
    <t>디에이피</t>
  </si>
  <si>
    <t>[049800]</t>
  </si>
  <si>
    <t>우진플라임</t>
  </si>
  <si>
    <t>[054040]</t>
  </si>
  <si>
    <t>한국컴퓨터</t>
  </si>
  <si>
    <t>[065770]</t>
  </si>
  <si>
    <t>CS</t>
  </si>
  <si>
    <t>[086980]</t>
  </si>
  <si>
    <t>쇼박스</t>
  </si>
  <si>
    <t>[079160]</t>
  </si>
  <si>
    <t>CJ CGV</t>
  </si>
  <si>
    <t>[052330]</t>
  </si>
  <si>
    <t>코텍</t>
  </si>
  <si>
    <t>[043710]</t>
  </si>
  <si>
    <t>[075180]</t>
  </si>
  <si>
    <t>새론오토모티브</t>
  </si>
  <si>
    <t>[038540]</t>
  </si>
  <si>
    <t>[053300]</t>
  </si>
  <si>
    <t>한국정보인증</t>
  </si>
  <si>
    <t>[069510]</t>
  </si>
  <si>
    <t>에스텍</t>
  </si>
  <si>
    <t>[066910]</t>
  </si>
  <si>
    <t>손오공</t>
  </si>
  <si>
    <t>[053950]</t>
  </si>
  <si>
    <t>경남제약</t>
  </si>
  <si>
    <t>[057500]</t>
  </si>
  <si>
    <t>SKC 솔믹스</t>
  </si>
  <si>
    <t>[057030]</t>
  </si>
  <si>
    <t>[080530]</t>
  </si>
  <si>
    <t>[068940]</t>
  </si>
  <si>
    <t>아이씨케이</t>
  </si>
  <si>
    <t>[047810]</t>
  </si>
  <si>
    <t>한국항공우주</t>
  </si>
  <si>
    <t>[061040]</t>
  </si>
  <si>
    <t>알에프텍</t>
  </si>
  <si>
    <t>[049180]</t>
  </si>
  <si>
    <t>셀루메드</t>
  </si>
  <si>
    <t>[048410]</t>
  </si>
  <si>
    <t>[171120]</t>
  </si>
  <si>
    <t>라이온켐텍</t>
  </si>
  <si>
    <t>[043260]</t>
  </si>
  <si>
    <t>성호전자</t>
  </si>
  <si>
    <t>[043220]</t>
  </si>
  <si>
    <t>[059210]</t>
  </si>
  <si>
    <t>메타바이오메드</t>
  </si>
  <si>
    <t>[045390]</t>
  </si>
  <si>
    <t>대아티아이</t>
  </si>
  <si>
    <t>[056730]</t>
  </si>
  <si>
    <t>[053610]</t>
  </si>
  <si>
    <t>프로텍</t>
  </si>
  <si>
    <t>[064550]</t>
  </si>
  <si>
    <t>바이오니아</t>
  </si>
  <si>
    <t>[082210]</t>
  </si>
  <si>
    <t>옵트론텍</t>
  </si>
  <si>
    <t>[073010]</t>
  </si>
  <si>
    <t>케이에스피</t>
  </si>
  <si>
    <t>[047770]</t>
  </si>
  <si>
    <t>코데즈컴바인</t>
  </si>
  <si>
    <t>[050110]</t>
  </si>
  <si>
    <t>캠시스</t>
  </si>
  <si>
    <t>[049480]</t>
  </si>
  <si>
    <t>오픈베이스</t>
  </si>
  <si>
    <t>[049720]</t>
  </si>
  <si>
    <t>고려신용정보</t>
  </si>
  <si>
    <t>[054300]</t>
  </si>
  <si>
    <t>[050760]</t>
  </si>
  <si>
    <t>에스폴리텍</t>
  </si>
  <si>
    <t>[049770]</t>
  </si>
  <si>
    <t>동원F&amp;B</t>
  </si>
  <si>
    <t>[048260]</t>
  </si>
  <si>
    <t>오스템임플란트</t>
  </si>
  <si>
    <t>[042670]</t>
  </si>
  <si>
    <t>두산인프라코어</t>
  </si>
  <si>
    <t>[040350]</t>
  </si>
  <si>
    <t>큐로컴</t>
  </si>
  <si>
    <t>[052770]</t>
  </si>
  <si>
    <t>[052260]</t>
  </si>
  <si>
    <t>[051980]</t>
  </si>
  <si>
    <t>[051630]</t>
  </si>
  <si>
    <t>진양화학</t>
  </si>
  <si>
    <t>[052190]</t>
  </si>
  <si>
    <t>[052790]</t>
  </si>
  <si>
    <t>액토즈소프트</t>
  </si>
  <si>
    <t>[047080]</t>
  </si>
  <si>
    <t>한빛소프트</t>
  </si>
  <si>
    <t>[053210]</t>
  </si>
  <si>
    <t>케이티스카이라이프</t>
  </si>
  <si>
    <t>[052400]</t>
  </si>
  <si>
    <t>코나아이</t>
  </si>
  <si>
    <t>[052300]</t>
  </si>
  <si>
    <t>[049120]</t>
  </si>
  <si>
    <t>파인디앤씨</t>
  </si>
  <si>
    <t>[052420]</t>
  </si>
  <si>
    <t>[039570]</t>
  </si>
  <si>
    <t>[045300]</t>
  </si>
  <si>
    <t>성우테크론</t>
  </si>
  <si>
    <t>[053700]</t>
  </si>
  <si>
    <t>삼보모터스</t>
  </si>
  <si>
    <t>[060260]</t>
  </si>
  <si>
    <t>뉴보텍</t>
  </si>
  <si>
    <t>[043090]</t>
  </si>
  <si>
    <t>[049470]</t>
  </si>
  <si>
    <t>SGA</t>
  </si>
  <si>
    <t>[053450]</t>
  </si>
  <si>
    <t>세코닉스</t>
  </si>
  <si>
    <t>[048910]</t>
  </si>
  <si>
    <t>대원미디어</t>
  </si>
  <si>
    <t>[053050]</t>
  </si>
  <si>
    <t>지에스이</t>
  </si>
  <si>
    <t>[053160]</t>
  </si>
  <si>
    <t>프리엠스</t>
  </si>
  <si>
    <t>[042500]</t>
  </si>
  <si>
    <t>링네트</t>
  </si>
  <si>
    <t>[053110]</t>
  </si>
  <si>
    <t>소리바다</t>
  </si>
  <si>
    <t>[058530]</t>
  </si>
  <si>
    <t>[053350]</t>
  </si>
  <si>
    <t>이니텍</t>
  </si>
  <si>
    <t>[054780]</t>
  </si>
  <si>
    <t>키이스트</t>
  </si>
  <si>
    <t>[058730]</t>
  </si>
  <si>
    <t>[045340]</t>
  </si>
  <si>
    <t>토탈소프트</t>
  </si>
  <si>
    <t>[053590]</t>
  </si>
  <si>
    <t>한국테크놀로지</t>
  </si>
  <si>
    <t>[051910]</t>
  </si>
  <si>
    <t>LG화학</t>
  </si>
  <si>
    <t>[051900]</t>
  </si>
  <si>
    <t>LG생활건강</t>
  </si>
  <si>
    <t>[035200]</t>
  </si>
  <si>
    <t>프럼파스트</t>
  </si>
  <si>
    <t>[060280]</t>
  </si>
  <si>
    <t>큐렉소</t>
  </si>
  <si>
    <t>[054180]</t>
  </si>
  <si>
    <t>중앙오션</t>
  </si>
  <si>
    <t>[054630]</t>
  </si>
  <si>
    <t>에이디칩스</t>
  </si>
  <si>
    <t>[069640]</t>
  </si>
  <si>
    <t>[049960]</t>
  </si>
  <si>
    <t>쎌바이오텍</t>
  </si>
  <si>
    <t>[054410]</t>
  </si>
  <si>
    <t>[060250]</t>
  </si>
  <si>
    <t>[089470]</t>
  </si>
  <si>
    <t>[056190]</t>
  </si>
  <si>
    <t>에스에프에이</t>
  </si>
  <si>
    <t>[064480]</t>
  </si>
  <si>
    <t>브리지텍</t>
  </si>
  <si>
    <t>[072950]</t>
  </si>
  <si>
    <t>빛샘전자</t>
  </si>
  <si>
    <t>[084990]</t>
  </si>
  <si>
    <t>[058420]</t>
  </si>
  <si>
    <t>제이웨이</t>
  </si>
  <si>
    <t>[054800]</t>
  </si>
  <si>
    <t>아이디스홀딩스</t>
  </si>
  <si>
    <t>[072470]</t>
  </si>
  <si>
    <t>우리산업홀딩스</t>
  </si>
  <si>
    <t>[046310]</t>
  </si>
  <si>
    <t>백금T&amp;A</t>
  </si>
  <si>
    <t>[122900]</t>
  </si>
  <si>
    <t>아이마켓코리아</t>
  </si>
  <si>
    <t>[054940]</t>
  </si>
  <si>
    <t>엑사이엔씨</t>
  </si>
  <si>
    <t>[086280]</t>
  </si>
  <si>
    <t>현대글로비스</t>
  </si>
  <si>
    <t>[056360]</t>
  </si>
  <si>
    <t>코위버</t>
  </si>
  <si>
    <t>[082740]</t>
  </si>
  <si>
    <t>[041460]</t>
  </si>
  <si>
    <t>한국전자인증</t>
  </si>
  <si>
    <t>[056000]</t>
  </si>
  <si>
    <t>[054950]</t>
  </si>
  <si>
    <t>제이브이엠</t>
  </si>
  <si>
    <t>[078000]</t>
  </si>
  <si>
    <t>텔코웨어</t>
  </si>
  <si>
    <t>[068790]</t>
  </si>
  <si>
    <t>DMS</t>
  </si>
  <si>
    <t>[065950]</t>
  </si>
  <si>
    <t>웰크론</t>
  </si>
  <si>
    <t>[100700]</t>
  </si>
  <si>
    <t>세운메디칼</t>
  </si>
  <si>
    <t>[079980]</t>
  </si>
  <si>
    <t>휴비스</t>
  </si>
  <si>
    <t>[060590]</t>
  </si>
  <si>
    <t>씨티씨바이오</t>
  </si>
  <si>
    <t>[053280]</t>
  </si>
  <si>
    <t>예스24</t>
  </si>
  <si>
    <t>[046940]</t>
  </si>
  <si>
    <t>우원개발</t>
  </si>
  <si>
    <t>[071280]</t>
  </si>
  <si>
    <t>로체시스템즈</t>
  </si>
  <si>
    <t>[060230]</t>
  </si>
  <si>
    <t>이그잭스</t>
  </si>
  <si>
    <t>[054920]</t>
  </si>
  <si>
    <t>[063570]</t>
  </si>
  <si>
    <t>한국전자금융</t>
  </si>
  <si>
    <t>[053290]</t>
  </si>
  <si>
    <t>[085810]</t>
  </si>
  <si>
    <t>알티캐스트</t>
  </si>
  <si>
    <t>[081580]</t>
  </si>
  <si>
    <t>성우전자</t>
  </si>
  <si>
    <t>[050890]</t>
  </si>
  <si>
    <t>쏠리드</t>
  </si>
  <si>
    <t>[060570]</t>
  </si>
  <si>
    <t>[060300]</t>
  </si>
  <si>
    <t>레드로버</t>
  </si>
  <si>
    <t>[067920]</t>
  </si>
  <si>
    <t>이글루시큐리티</t>
  </si>
  <si>
    <t>[095570]</t>
  </si>
  <si>
    <t>AJ네트웍스</t>
  </si>
  <si>
    <t>[089790]</t>
  </si>
  <si>
    <t>제이티</t>
  </si>
  <si>
    <t>[067630]</t>
  </si>
  <si>
    <t>[090150]</t>
  </si>
  <si>
    <t>광진윈텍</t>
  </si>
  <si>
    <t>[052860]</t>
  </si>
  <si>
    <t>아이앤씨</t>
  </si>
  <si>
    <t>[089890]</t>
  </si>
  <si>
    <t>[151860]</t>
  </si>
  <si>
    <t>KG ETS</t>
  </si>
  <si>
    <t>[080440]</t>
  </si>
  <si>
    <t>[065130]</t>
  </si>
  <si>
    <t>탑엔지니어링</t>
  </si>
  <si>
    <t>[059090]</t>
  </si>
  <si>
    <t>미코</t>
  </si>
  <si>
    <t>[097870]</t>
  </si>
  <si>
    <t>효성오앤비</t>
  </si>
  <si>
    <t>[092300]</t>
  </si>
  <si>
    <t>현우산업</t>
  </si>
  <si>
    <t>[069540]</t>
  </si>
  <si>
    <t>[063440]</t>
  </si>
  <si>
    <t>[060900]</t>
  </si>
  <si>
    <t>[082850]</t>
  </si>
  <si>
    <t>[051370]</t>
  </si>
  <si>
    <t>인터플렉스</t>
  </si>
  <si>
    <t>[039980]</t>
  </si>
  <si>
    <t>리노스</t>
  </si>
  <si>
    <t>[050090]</t>
  </si>
  <si>
    <t>휘닉스소재</t>
  </si>
  <si>
    <t>[058470]</t>
  </si>
  <si>
    <t>리노공업</t>
  </si>
  <si>
    <t>[047400]</t>
  </si>
  <si>
    <t>[052220]</t>
  </si>
  <si>
    <t>iMBC</t>
  </si>
  <si>
    <t>[066430]</t>
  </si>
  <si>
    <t>[064520]</t>
  </si>
  <si>
    <t>바른전자</t>
  </si>
  <si>
    <t>[089010]</t>
  </si>
  <si>
    <t>켐트로닉스</t>
  </si>
  <si>
    <t>[066670]</t>
  </si>
  <si>
    <t>디스플레이텍</t>
  </si>
  <si>
    <t>[131290]</t>
  </si>
  <si>
    <t>티에스이</t>
  </si>
  <si>
    <t>[057680]</t>
  </si>
  <si>
    <t>옴니텔</t>
  </si>
  <si>
    <t>[058860]</t>
  </si>
  <si>
    <t>[058850]</t>
  </si>
  <si>
    <t>KTcs</t>
  </si>
  <si>
    <t>[073640]</t>
  </si>
  <si>
    <t>삼원테크</t>
  </si>
  <si>
    <t>[038070]</t>
  </si>
  <si>
    <t>서린바이오</t>
  </si>
  <si>
    <t>[060240]</t>
  </si>
  <si>
    <t>룽투코리아</t>
  </si>
  <si>
    <t>[060150]</t>
  </si>
  <si>
    <t>인선이엔티</t>
  </si>
  <si>
    <t>[049080]</t>
  </si>
  <si>
    <t>기가레인</t>
  </si>
  <si>
    <t>[058650]</t>
  </si>
  <si>
    <t>세아홀딩스</t>
  </si>
  <si>
    <t>[066410]</t>
  </si>
  <si>
    <t>[060720]</t>
  </si>
  <si>
    <t>KH바텍</t>
  </si>
  <si>
    <t>[094190]</t>
  </si>
  <si>
    <t>이엘케이</t>
  </si>
  <si>
    <t>[060540]</t>
  </si>
  <si>
    <t>에스에이티</t>
  </si>
  <si>
    <t>[058820]</t>
  </si>
  <si>
    <t>CMG제약</t>
  </si>
  <si>
    <t>[065170]</t>
  </si>
  <si>
    <t>넥스트BT</t>
  </si>
  <si>
    <t>[065690]</t>
  </si>
  <si>
    <t>[071670]</t>
  </si>
  <si>
    <t>에이테크솔루션</t>
  </si>
  <si>
    <t>[064240]</t>
  </si>
  <si>
    <t>홈캐스트</t>
  </si>
  <si>
    <t>[065450]</t>
  </si>
  <si>
    <t>빅텍</t>
  </si>
  <si>
    <t>[068330]</t>
  </si>
  <si>
    <t>일신바이오</t>
  </si>
  <si>
    <t>[051160]</t>
  </si>
  <si>
    <t>지어소프트</t>
  </si>
  <si>
    <t>[064260]</t>
  </si>
  <si>
    <t>다날</t>
  </si>
  <si>
    <t>[066980]</t>
  </si>
  <si>
    <t>[063160]</t>
  </si>
  <si>
    <t>종근당바이오</t>
  </si>
  <si>
    <t>[051360]</t>
  </si>
  <si>
    <t>토비스</t>
  </si>
  <si>
    <t>[064090]</t>
  </si>
  <si>
    <t>[065440]</t>
  </si>
  <si>
    <t>이루온</t>
  </si>
  <si>
    <t>[065150]</t>
  </si>
  <si>
    <t>[065680]</t>
  </si>
  <si>
    <t>우주일렉트로</t>
  </si>
  <si>
    <t>[065650]</t>
  </si>
  <si>
    <t>메디프론</t>
  </si>
  <si>
    <t>[064800]</t>
  </si>
  <si>
    <t>[065560]</t>
  </si>
  <si>
    <t>[058630]</t>
  </si>
  <si>
    <t>엠게임</t>
  </si>
  <si>
    <t>[068050]</t>
  </si>
  <si>
    <t>팬엔터테인먼트</t>
  </si>
  <si>
    <t>[067000]</t>
  </si>
  <si>
    <t>조이시티</t>
  </si>
  <si>
    <t>[067170]</t>
  </si>
  <si>
    <t>오텍</t>
  </si>
  <si>
    <t>[065510]</t>
  </si>
  <si>
    <t>휴비츠</t>
  </si>
  <si>
    <t>[066970]</t>
  </si>
  <si>
    <t>엘앤에프</t>
  </si>
  <si>
    <t>[064960]</t>
  </si>
  <si>
    <t>S&amp;T모티브</t>
  </si>
  <si>
    <t>[068930]</t>
  </si>
  <si>
    <t>디지털대성</t>
  </si>
  <si>
    <t>[067160]</t>
  </si>
  <si>
    <t>아프리카TV</t>
  </si>
  <si>
    <t>[069330]</t>
  </si>
  <si>
    <t>유아이디</t>
  </si>
  <si>
    <t>[078520]</t>
  </si>
  <si>
    <t>에이블씨엔씨</t>
  </si>
  <si>
    <t>[066570]</t>
  </si>
  <si>
    <t>LG전자</t>
  </si>
  <si>
    <t>[131090]</t>
  </si>
  <si>
    <t>시큐브</t>
  </si>
  <si>
    <t>[069110]</t>
  </si>
  <si>
    <t>코스온</t>
  </si>
  <si>
    <t>[126560]</t>
  </si>
  <si>
    <t>현대에이치씨엔</t>
  </si>
  <si>
    <t>[059120]</t>
  </si>
  <si>
    <t>아진엑스텍</t>
  </si>
  <si>
    <t>[046440]</t>
  </si>
  <si>
    <t>KG모빌리언스</t>
  </si>
  <si>
    <t>[069080]</t>
  </si>
  <si>
    <t>웹젠</t>
  </si>
  <si>
    <t>[052460]</t>
  </si>
  <si>
    <t>아이크래프트</t>
  </si>
  <si>
    <t>[115570]</t>
  </si>
  <si>
    <t>스타플렉스</t>
  </si>
  <si>
    <t>[071970]</t>
  </si>
  <si>
    <t>STX중공업</t>
  </si>
  <si>
    <t>[038060]</t>
  </si>
  <si>
    <t>루멘스</t>
  </si>
  <si>
    <t>[138250]</t>
  </si>
  <si>
    <t>엔에스쇼핑</t>
  </si>
  <si>
    <t>[067770]</t>
  </si>
  <si>
    <t>세진티에스</t>
  </si>
  <si>
    <t>[059100]</t>
  </si>
  <si>
    <t>아이컴포넌트</t>
  </si>
  <si>
    <t>[073190]</t>
  </si>
  <si>
    <t>[083790]</t>
  </si>
  <si>
    <t>크리스탈</t>
  </si>
  <si>
    <t>[072520]</t>
  </si>
  <si>
    <t>[088290]</t>
  </si>
  <si>
    <t>이원컴포텍</t>
  </si>
  <si>
    <t>[079950]</t>
  </si>
  <si>
    <t>[084870]</t>
  </si>
  <si>
    <t>[067390]</t>
  </si>
  <si>
    <t>아스트</t>
  </si>
  <si>
    <t>[083650]</t>
  </si>
  <si>
    <t>비에이치아이</t>
  </si>
  <si>
    <t>[106190]</t>
  </si>
  <si>
    <t>하이텍팜</t>
  </si>
  <si>
    <t>[057880]</t>
  </si>
  <si>
    <t>[063170]</t>
  </si>
  <si>
    <t>서울옥션</t>
  </si>
  <si>
    <t>[069140]</t>
  </si>
  <si>
    <t>누리플랜</t>
  </si>
  <si>
    <t>[101490]</t>
  </si>
  <si>
    <t>에스앤에스텍</t>
  </si>
  <si>
    <t>[078070]</t>
  </si>
  <si>
    <t>[066310]</t>
  </si>
  <si>
    <t>큐에스아이</t>
  </si>
  <si>
    <t>[182690]</t>
  </si>
  <si>
    <t>테라셈</t>
  </si>
  <si>
    <t>[061970]</t>
  </si>
  <si>
    <t>엘비세미콘</t>
  </si>
  <si>
    <t>[057050]</t>
  </si>
  <si>
    <t>현대홈쇼핑</t>
  </si>
  <si>
    <t>[068270]</t>
  </si>
  <si>
    <t>셀트리온</t>
  </si>
  <si>
    <t>[053690]</t>
  </si>
  <si>
    <t>한미글로벌</t>
  </si>
  <si>
    <t>[077500]</t>
  </si>
  <si>
    <t>유니퀘스트</t>
  </si>
  <si>
    <t>[094280]</t>
  </si>
  <si>
    <t>효성 ITX</t>
  </si>
  <si>
    <t>[072020]</t>
  </si>
  <si>
    <t>중앙백신</t>
  </si>
  <si>
    <t>[100130]</t>
  </si>
  <si>
    <t>동국S&amp;C</t>
  </si>
  <si>
    <t>[069410]</t>
  </si>
  <si>
    <t>엔텔스</t>
  </si>
  <si>
    <t>[087010]</t>
  </si>
  <si>
    <t>펩트론</t>
  </si>
  <si>
    <t>[089140]</t>
  </si>
  <si>
    <t>넥스턴</t>
  </si>
  <si>
    <t>[072130]</t>
  </si>
  <si>
    <t>유엔젤</t>
  </si>
  <si>
    <t>[043910]</t>
  </si>
  <si>
    <t>자연과환경</t>
  </si>
  <si>
    <t>[072870]</t>
  </si>
  <si>
    <t>메가스터디</t>
  </si>
  <si>
    <t>[067830]</t>
  </si>
  <si>
    <t>세이브존I&amp;C</t>
  </si>
  <si>
    <t>[054450]</t>
  </si>
  <si>
    <t>텔레칩스</t>
  </si>
  <si>
    <t>[068290]</t>
  </si>
  <si>
    <t>삼성출판사</t>
  </si>
  <si>
    <t>[067280]</t>
  </si>
  <si>
    <t>[069920]</t>
  </si>
  <si>
    <t>아이에스이커머스</t>
  </si>
  <si>
    <t>[069260]</t>
  </si>
  <si>
    <t>휴켐스</t>
  </si>
  <si>
    <t>[069620]</t>
  </si>
  <si>
    <t>대웅제약</t>
  </si>
  <si>
    <t>[069960]</t>
  </si>
  <si>
    <t>현대백화점</t>
  </si>
  <si>
    <t>[069460]</t>
  </si>
  <si>
    <t>대호에이엘</t>
  </si>
  <si>
    <t>[177830]</t>
  </si>
  <si>
    <t>파버나인</t>
  </si>
  <si>
    <t>[071090]</t>
  </si>
  <si>
    <t>하이스틸</t>
  </si>
  <si>
    <t>[071200]</t>
  </si>
  <si>
    <t>인피니트헬스케어</t>
  </si>
  <si>
    <t>[084730]</t>
  </si>
  <si>
    <t>팅크웨어</t>
  </si>
  <si>
    <t>[121600]</t>
  </si>
  <si>
    <t>나노신소재</t>
  </si>
  <si>
    <t>[073570]</t>
  </si>
  <si>
    <t>[058220]</t>
  </si>
  <si>
    <t>아리온</t>
  </si>
  <si>
    <t>[093240]</t>
  </si>
  <si>
    <t>[078890]</t>
  </si>
  <si>
    <t>가온미디어</t>
  </si>
  <si>
    <t>[089150]</t>
  </si>
  <si>
    <t>케이씨티</t>
  </si>
  <si>
    <t>[115500]</t>
  </si>
  <si>
    <t>케이씨에스</t>
  </si>
  <si>
    <t>[149950]</t>
  </si>
  <si>
    <t>아바텍</t>
  </si>
  <si>
    <t>[083930]</t>
  </si>
  <si>
    <t>아바코</t>
  </si>
  <si>
    <t>[126880]</t>
  </si>
  <si>
    <t>제이엔케이히터</t>
  </si>
  <si>
    <t>[082660]</t>
  </si>
  <si>
    <t>[073540]</t>
  </si>
  <si>
    <t>에프알텍</t>
  </si>
  <si>
    <t>[079370]</t>
  </si>
  <si>
    <t>제우스</t>
  </si>
  <si>
    <t>[078140]</t>
  </si>
  <si>
    <t>대봉엘에스</t>
  </si>
  <si>
    <t>[090370]</t>
  </si>
  <si>
    <t>[104040]</t>
  </si>
  <si>
    <t>대성파인텍</t>
  </si>
  <si>
    <t>[112040]</t>
  </si>
  <si>
    <t>위메이드</t>
  </si>
  <si>
    <t>[067310]</t>
  </si>
  <si>
    <t>하나마이크론</t>
  </si>
  <si>
    <t>[079810]</t>
  </si>
  <si>
    <t>디이엔티</t>
  </si>
  <si>
    <t>[093920]</t>
  </si>
  <si>
    <t>서원인텍</t>
  </si>
  <si>
    <t>[086960]</t>
  </si>
  <si>
    <t>[080220]</t>
  </si>
  <si>
    <t>제주반도체</t>
  </si>
  <si>
    <t>[086040]</t>
  </si>
  <si>
    <t>바이오톡스텍</t>
  </si>
  <si>
    <t>[090460]</t>
  </si>
  <si>
    <t>비에이치</t>
  </si>
  <si>
    <t>[049950]</t>
  </si>
  <si>
    <t>미래컴퍼니</t>
  </si>
  <si>
    <t>[085910]</t>
  </si>
  <si>
    <t>네오티스</t>
  </si>
  <si>
    <t>[099320]</t>
  </si>
  <si>
    <t>쎄트렉아이</t>
  </si>
  <si>
    <t>[067990]</t>
  </si>
  <si>
    <t>도이치모터스</t>
  </si>
  <si>
    <t>[112240]</t>
  </si>
  <si>
    <t>에스에프씨</t>
  </si>
  <si>
    <t>[145210]</t>
  </si>
  <si>
    <t>세화아이엠씨</t>
  </si>
  <si>
    <t>[078160]</t>
  </si>
  <si>
    <t>메디포스트</t>
  </si>
  <si>
    <t>[080010]</t>
  </si>
  <si>
    <t>이상네트웍스</t>
  </si>
  <si>
    <t>[090410]</t>
  </si>
  <si>
    <t>덕신하우징</t>
  </si>
  <si>
    <t>[083420]</t>
  </si>
  <si>
    <t>[045890]</t>
  </si>
  <si>
    <t>[079000]</t>
  </si>
  <si>
    <t>와토스코리아</t>
  </si>
  <si>
    <t>[080000]</t>
  </si>
  <si>
    <t>에스엔유</t>
  </si>
  <si>
    <t>[080160]</t>
  </si>
  <si>
    <t>모두투어</t>
  </si>
  <si>
    <t>[089530]</t>
  </si>
  <si>
    <t>에이티세미콘</t>
  </si>
  <si>
    <t>[072710]</t>
  </si>
  <si>
    <t>농심홀딩스</t>
  </si>
  <si>
    <t>[073490]</t>
  </si>
  <si>
    <t>이노와이어리스</t>
  </si>
  <si>
    <t>[041910]</t>
  </si>
  <si>
    <t>에스텍파마</t>
  </si>
  <si>
    <t>[074430]</t>
  </si>
  <si>
    <t>아미노로직스</t>
  </si>
  <si>
    <t>[074600]</t>
  </si>
  <si>
    <t>원익QnC</t>
  </si>
  <si>
    <t>[074610]</t>
  </si>
  <si>
    <t>[070590]</t>
  </si>
  <si>
    <t>한솔인티큐브</t>
  </si>
  <si>
    <t>[077360]</t>
  </si>
  <si>
    <t>덕산하이메탈</t>
  </si>
  <si>
    <t>[075970]</t>
  </si>
  <si>
    <t>동국알앤에스</t>
  </si>
  <si>
    <t>[083470]</t>
  </si>
  <si>
    <t>[083640]</t>
  </si>
  <si>
    <t>인콘</t>
  </si>
  <si>
    <t>[048870]</t>
  </si>
  <si>
    <t>[078340]</t>
  </si>
  <si>
    <t>컴투스</t>
  </si>
  <si>
    <t>[078650]</t>
  </si>
  <si>
    <t>코렌</t>
  </si>
  <si>
    <t>[093190]</t>
  </si>
  <si>
    <t>빅솔론</t>
  </si>
  <si>
    <t>[079190]</t>
  </si>
  <si>
    <t>EMW</t>
  </si>
  <si>
    <t>[064290]</t>
  </si>
  <si>
    <t>인텍플러스</t>
  </si>
  <si>
    <t>[080420]</t>
  </si>
  <si>
    <t>[100090]</t>
  </si>
  <si>
    <t>삼강엠앤티</t>
  </si>
  <si>
    <t>[077970]</t>
  </si>
  <si>
    <t>STX엔진</t>
  </si>
  <si>
    <t>[096040]</t>
  </si>
  <si>
    <t>이트론</t>
  </si>
  <si>
    <t>[091580]</t>
  </si>
  <si>
    <t>상신이디피</t>
  </si>
  <si>
    <t>[093230]</t>
  </si>
  <si>
    <t>이아이디</t>
  </si>
  <si>
    <t>[073240]</t>
  </si>
  <si>
    <t>금호타이어</t>
  </si>
  <si>
    <t>[101930]</t>
  </si>
  <si>
    <t>인화정공</t>
  </si>
  <si>
    <t>[076610]</t>
  </si>
  <si>
    <t>해성옵틱스</t>
  </si>
  <si>
    <t>[083310]</t>
  </si>
  <si>
    <t>엘오티베큠</t>
  </si>
  <si>
    <t>[094820]</t>
  </si>
  <si>
    <t>일진파워</t>
  </si>
  <si>
    <t>[089600]</t>
  </si>
  <si>
    <t>나스미디어</t>
  </si>
  <si>
    <t>[080470]</t>
  </si>
  <si>
    <t>성창오토텍</t>
  </si>
  <si>
    <t>[076080]</t>
  </si>
  <si>
    <t>웰크론한텍</t>
  </si>
  <si>
    <t>[078350]</t>
  </si>
  <si>
    <t>한양디지텍</t>
  </si>
  <si>
    <t>[088130]</t>
  </si>
  <si>
    <t>동아엘텍</t>
  </si>
  <si>
    <t>[091700]</t>
  </si>
  <si>
    <t>파트론</t>
  </si>
  <si>
    <t>[075130]</t>
  </si>
  <si>
    <t>플랜티넷</t>
  </si>
  <si>
    <t>[086060]</t>
  </si>
  <si>
    <t>진바이오텍</t>
  </si>
  <si>
    <t>[115310]</t>
  </si>
  <si>
    <t>인포바인</t>
  </si>
  <si>
    <t>[130500]</t>
  </si>
  <si>
    <t>[170790]</t>
  </si>
  <si>
    <t>파이오링크</t>
  </si>
  <si>
    <t>[082270]</t>
  </si>
  <si>
    <t>젬백스</t>
  </si>
  <si>
    <t>[090470]</t>
  </si>
  <si>
    <t>[085670]</t>
  </si>
  <si>
    <t>뉴프렉스</t>
  </si>
  <si>
    <t>[073110]</t>
  </si>
  <si>
    <t>엘엠에스</t>
  </si>
  <si>
    <t>[088390]</t>
  </si>
  <si>
    <t>이녹스</t>
  </si>
  <si>
    <t>[087600]</t>
  </si>
  <si>
    <t>픽셀플러스</t>
  </si>
  <si>
    <t>[090740]</t>
  </si>
  <si>
    <t>[087730]</t>
  </si>
  <si>
    <t>[081150]</t>
  </si>
  <si>
    <t>티플랙스</t>
  </si>
  <si>
    <t>[101330]</t>
  </si>
  <si>
    <t>모베이스</t>
  </si>
  <si>
    <t>[078930]</t>
  </si>
  <si>
    <t>GS</t>
  </si>
  <si>
    <t>[078940]</t>
  </si>
  <si>
    <t>[079550]</t>
  </si>
  <si>
    <t>LIG넥스원</t>
  </si>
  <si>
    <t>[079940]</t>
  </si>
  <si>
    <t>가비아</t>
  </si>
  <si>
    <t>[081000]</t>
  </si>
  <si>
    <t>일진다이아</t>
  </si>
  <si>
    <t>[210980]</t>
  </si>
  <si>
    <t>[142280]</t>
  </si>
  <si>
    <t>녹십자엠에스</t>
  </si>
  <si>
    <t>[096610]</t>
  </si>
  <si>
    <t>알에프세미</t>
  </si>
  <si>
    <t>[101240]</t>
  </si>
  <si>
    <t>씨큐브</t>
  </si>
  <si>
    <t>[100220]</t>
  </si>
  <si>
    <t>비상교육</t>
  </si>
  <si>
    <t>[068240]</t>
  </si>
  <si>
    <t>다원시스</t>
  </si>
  <si>
    <t>[095610]</t>
  </si>
  <si>
    <t>테스</t>
  </si>
  <si>
    <t>[086670]</t>
  </si>
  <si>
    <t>비엠티</t>
  </si>
  <si>
    <t>[102940]</t>
  </si>
  <si>
    <t>코오롱생명과학</t>
  </si>
  <si>
    <t>[085660]</t>
  </si>
  <si>
    <t>차바이오텍</t>
  </si>
  <si>
    <t>[096240]</t>
  </si>
  <si>
    <t>청담러닝</t>
  </si>
  <si>
    <t>[108320]</t>
  </si>
  <si>
    <t>실리콘웍스</t>
  </si>
  <si>
    <t>[083370]</t>
  </si>
  <si>
    <t>동북아12호선박투자</t>
  </si>
  <si>
    <t>[099410]</t>
  </si>
  <si>
    <t>동방선기</t>
  </si>
  <si>
    <t>[095270]</t>
  </si>
  <si>
    <t>웨이브일렉트로</t>
  </si>
  <si>
    <t>[095500]</t>
  </si>
  <si>
    <t>미래나노텍</t>
  </si>
  <si>
    <t>[086890]</t>
  </si>
  <si>
    <t>이수앱지스</t>
  </si>
  <si>
    <t>[095190]</t>
  </si>
  <si>
    <t>이엠코리아</t>
  </si>
  <si>
    <t>[101670]</t>
  </si>
  <si>
    <t>코리아에스이</t>
  </si>
  <si>
    <t>[092460]</t>
  </si>
  <si>
    <t>한라IMS</t>
  </si>
  <si>
    <t>[080520]</t>
  </si>
  <si>
    <t>오디텍</t>
  </si>
  <si>
    <t>[109740]</t>
  </si>
  <si>
    <t>디에스케이</t>
  </si>
  <si>
    <t>[102710]</t>
  </si>
  <si>
    <t>이엔에프테크놀로지</t>
  </si>
  <si>
    <t>[084370]</t>
  </si>
  <si>
    <t>유진테크</t>
  </si>
  <si>
    <t>[108230]</t>
  </si>
  <si>
    <t>톱텍</t>
  </si>
  <si>
    <t>[114450]</t>
  </si>
  <si>
    <t>KPX생명과학</t>
  </si>
  <si>
    <t>[105740]</t>
  </si>
  <si>
    <t>디케이락</t>
  </si>
  <si>
    <t>[082800]</t>
  </si>
  <si>
    <t>루미마이크로</t>
  </si>
  <si>
    <t>[094970]</t>
  </si>
  <si>
    <t>제이엠티</t>
  </si>
  <si>
    <t>[131400]</t>
  </si>
  <si>
    <t>액트</t>
  </si>
  <si>
    <t>[139670]</t>
  </si>
  <si>
    <t>[089030]</t>
  </si>
  <si>
    <t>테크윙</t>
  </si>
  <si>
    <t>[063080]</t>
  </si>
  <si>
    <t>게임빌</t>
  </si>
  <si>
    <t>[097800]</t>
  </si>
  <si>
    <t>윈팩</t>
  </si>
  <si>
    <t>[106520]</t>
  </si>
  <si>
    <t>디지탈옵틱</t>
  </si>
  <si>
    <t>[090360]</t>
  </si>
  <si>
    <t>로보스타</t>
  </si>
  <si>
    <t>[086520]</t>
  </si>
  <si>
    <t>에코프로</t>
  </si>
  <si>
    <t>[093640]</t>
  </si>
  <si>
    <t>다믈멀티미디어</t>
  </si>
  <si>
    <t>[092600]</t>
  </si>
  <si>
    <t>[094940]</t>
  </si>
  <si>
    <t>푸른기술</t>
  </si>
  <si>
    <t>[084690]</t>
  </si>
  <si>
    <t>대상홀딩스</t>
  </si>
  <si>
    <t>[090710]</t>
  </si>
  <si>
    <t>[086390]</t>
  </si>
  <si>
    <t>유니테스트</t>
  </si>
  <si>
    <t>[096870]</t>
  </si>
  <si>
    <t>엘디티</t>
  </si>
  <si>
    <t>[084680]</t>
  </si>
  <si>
    <t>이월드</t>
  </si>
  <si>
    <t>[084670]</t>
  </si>
  <si>
    <t>동양고속</t>
  </si>
  <si>
    <t>[083450]</t>
  </si>
  <si>
    <t>GST</t>
  </si>
  <si>
    <t>[091120]</t>
  </si>
  <si>
    <t>이엠텍</t>
  </si>
  <si>
    <t>[068760]</t>
  </si>
  <si>
    <t>셀트리온제약</t>
  </si>
  <si>
    <t>[104540]</t>
  </si>
  <si>
    <t>코렌텍</t>
  </si>
  <si>
    <t>[091970]</t>
  </si>
  <si>
    <t>나노캠텍</t>
  </si>
  <si>
    <t>[106080]</t>
  </si>
  <si>
    <t>하이소닉</t>
  </si>
  <si>
    <t>[080580]</t>
  </si>
  <si>
    <t>오킨스전자</t>
  </si>
  <si>
    <t>[078860]</t>
  </si>
  <si>
    <t>[084650]</t>
  </si>
  <si>
    <t>랩지노믹스</t>
  </si>
  <si>
    <t>[092040]</t>
  </si>
  <si>
    <t>아미코젠</t>
  </si>
  <si>
    <t>[095700]</t>
  </si>
  <si>
    <t>제넥신</t>
  </si>
  <si>
    <t>[085370]</t>
  </si>
  <si>
    <t>루트로닉</t>
  </si>
  <si>
    <t>[099190]</t>
  </si>
  <si>
    <t>아이센스</t>
  </si>
  <si>
    <t>[092730]</t>
  </si>
  <si>
    <t>네오팜</t>
  </si>
  <si>
    <t>[115450]</t>
  </si>
  <si>
    <t>지트리비앤티</t>
  </si>
  <si>
    <t>[109820]</t>
  </si>
  <si>
    <t>진매트릭스</t>
  </si>
  <si>
    <t>[089590]</t>
  </si>
  <si>
    <t>제주항공</t>
  </si>
  <si>
    <t>[088800]</t>
  </si>
  <si>
    <t>에이스테크</t>
  </si>
  <si>
    <t>[114090]</t>
  </si>
  <si>
    <t>GKL</t>
  </si>
  <si>
    <t>[088790]</t>
  </si>
  <si>
    <t>진도</t>
  </si>
  <si>
    <t>[091440]</t>
  </si>
  <si>
    <t>텔레필드</t>
  </si>
  <si>
    <t>[115390]</t>
  </si>
  <si>
    <t>락앤락</t>
  </si>
  <si>
    <t>[097780]</t>
  </si>
  <si>
    <t>에스맥</t>
  </si>
  <si>
    <t>[131970]</t>
  </si>
  <si>
    <t>테스나</t>
  </si>
  <si>
    <t>[159580]</t>
  </si>
  <si>
    <t>제로투세븐</t>
  </si>
  <si>
    <t>[097520]</t>
  </si>
  <si>
    <t>엠씨넥스</t>
  </si>
  <si>
    <t>[214320]</t>
  </si>
  <si>
    <t>이노션</t>
  </si>
  <si>
    <t>[101170]</t>
  </si>
  <si>
    <t>우림기계</t>
  </si>
  <si>
    <t>[098120]</t>
  </si>
  <si>
    <t>마이크로컨텍솔</t>
  </si>
  <si>
    <t>[143540]</t>
  </si>
  <si>
    <t>영우디에스피</t>
  </si>
  <si>
    <t>[092070]</t>
  </si>
  <si>
    <t>디엔에프</t>
  </si>
  <si>
    <t>[138080]</t>
  </si>
  <si>
    <t>오이솔루션</t>
  </si>
  <si>
    <t>[095340]</t>
  </si>
  <si>
    <t>ISC</t>
  </si>
  <si>
    <t>[096630]</t>
  </si>
  <si>
    <t>에스코넥</t>
  </si>
  <si>
    <t>[090080]</t>
  </si>
  <si>
    <t>평화산업</t>
  </si>
  <si>
    <t>[099220]</t>
  </si>
  <si>
    <t>SDN</t>
  </si>
  <si>
    <t>[113810]</t>
  </si>
  <si>
    <t>디젠스</t>
  </si>
  <si>
    <t>[138070]</t>
  </si>
  <si>
    <t>신진에스엠</t>
  </si>
  <si>
    <t>[130740]</t>
  </si>
  <si>
    <t>티피씨글로벌</t>
  </si>
  <si>
    <t>[094360]</t>
  </si>
  <si>
    <t>칩스앤미디어</t>
  </si>
  <si>
    <t>[098460]</t>
  </si>
  <si>
    <t>고영</t>
  </si>
  <si>
    <t>[099440]</t>
  </si>
  <si>
    <t>스맥</t>
  </si>
  <si>
    <t>[101160]</t>
  </si>
  <si>
    <t>월덱스</t>
  </si>
  <si>
    <t>[086900]</t>
  </si>
  <si>
    <t>메디톡스</t>
  </si>
  <si>
    <t>[091340]</t>
  </si>
  <si>
    <t>S&amp;K폴리텍</t>
  </si>
  <si>
    <t>[072770]</t>
  </si>
  <si>
    <t>[090430]</t>
  </si>
  <si>
    <t>아모레퍼시픽</t>
  </si>
  <si>
    <t>[090350]</t>
  </si>
  <si>
    <t>노루페인트</t>
  </si>
  <si>
    <t>[091090]</t>
  </si>
  <si>
    <t>세원셀론텍</t>
  </si>
  <si>
    <t>[095910]</t>
  </si>
  <si>
    <t>에스에너지</t>
  </si>
  <si>
    <t>[119860]</t>
  </si>
  <si>
    <t>다나와</t>
  </si>
  <si>
    <t>[094480]</t>
  </si>
  <si>
    <t>갤럭시아컴즈</t>
  </si>
  <si>
    <t>[092230]</t>
  </si>
  <si>
    <t>KPX홀딩스</t>
  </si>
  <si>
    <t>[092220]</t>
  </si>
  <si>
    <t>KEC</t>
  </si>
  <si>
    <t>[102120]</t>
  </si>
  <si>
    <t>어보브반도체</t>
  </si>
  <si>
    <t>[089850]</t>
  </si>
  <si>
    <t>유비벨록스</t>
  </si>
  <si>
    <t>[093050]</t>
  </si>
  <si>
    <t>LF</t>
  </si>
  <si>
    <t>[093370]</t>
  </si>
  <si>
    <t>후성</t>
  </si>
  <si>
    <t>[079970]</t>
  </si>
  <si>
    <t>투비소프트</t>
  </si>
  <si>
    <t>[093520]</t>
  </si>
  <si>
    <t>매커스</t>
  </si>
  <si>
    <t>[108790]</t>
  </si>
  <si>
    <t>인터파크</t>
  </si>
  <si>
    <t>[094860]</t>
  </si>
  <si>
    <t>코닉글로리</t>
  </si>
  <si>
    <t>[126600]</t>
  </si>
  <si>
    <t>코프라</t>
  </si>
  <si>
    <t>[094840]</t>
  </si>
  <si>
    <t>슈프리마</t>
  </si>
  <si>
    <t>[104460]</t>
  </si>
  <si>
    <t>[093320]</t>
  </si>
  <si>
    <t>케이아이엔엑스</t>
  </si>
  <si>
    <t>[119610]</t>
  </si>
  <si>
    <t>인터로조</t>
  </si>
  <si>
    <t>[121890]</t>
  </si>
  <si>
    <t>에스디시스템</t>
  </si>
  <si>
    <t>[117670]</t>
  </si>
  <si>
    <t>[130580]</t>
  </si>
  <si>
    <t>나이스디앤비</t>
  </si>
  <si>
    <t>[105330]</t>
  </si>
  <si>
    <t>케이엔더블유</t>
  </si>
  <si>
    <t>[094850]</t>
  </si>
  <si>
    <t>[131220]</t>
  </si>
  <si>
    <t>대한과학</t>
  </si>
  <si>
    <t>[134580]</t>
  </si>
  <si>
    <t>디엠티</t>
  </si>
  <si>
    <t>[200230]</t>
  </si>
  <si>
    <t>[096690]</t>
  </si>
  <si>
    <t>[096640]</t>
  </si>
  <si>
    <t>멜파스</t>
  </si>
  <si>
    <t>[100120]</t>
  </si>
  <si>
    <t>뷰웍스</t>
  </si>
  <si>
    <t>[103130]</t>
  </si>
  <si>
    <t>웅진에너지</t>
  </si>
  <si>
    <t>[101390]</t>
  </si>
  <si>
    <t>아이엠</t>
  </si>
  <si>
    <t>[141000]</t>
  </si>
  <si>
    <t>비아트론</t>
  </si>
  <si>
    <t>[098660]</t>
  </si>
  <si>
    <t>에스티오</t>
  </si>
  <si>
    <t>[137400]</t>
  </si>
  <si>
    <t>피엔티</t>
  </si>
  <si>
    <t>[214430]</t>
  </si>
  <si>
    <t>아이쓰리시스템</t>
  </si>
  <si>
    <t>[122870]</t>
  </si>
  <si>
    <t>와이지엔터테인먼트</t>
  </si>
  <si>
    <t>[200670]</t>
  </si>
  <si>
    <t>휴메딕스</t>
  </si>
  <si>
    <t>[137940]</t>
  </si>
  <si>
    <t>넥스트아이</t>
  </si>
  <si>
    <t>[123570]</t>
  </si>
  <si>
    <t>이엠넷</t>
  </si>
  <si>
    <t>[219130]</t>
  </si>
  <si>
    <t>타이거일렉</t>
  </si>
  <si>
    <t>[114120]</t>
  </si>
  <si>
    <t>크루셜텍</t>
  </si>
  <si>
    <t>[101000]</t>
  </si>
  <si>
    <t>[195990]</t>
  </si>
  <si>
    <t>[104830]</t>
  </si>
  <si>
    <t>원익머트리얼즈</t>
  </si>
  <si>
    <t>[154040]</t>
  </si>
  <si>
    <t>솔루에타</t>
  </si>
  <si>
    <t>[123330]</t>
  </si>
  <si>
    <t>제닉</t>
  </si>
  <si>
    <t>[114810]</t>
  </si>
  <si>
    <t>아이원스</t>
  </si>
  <si>
    <t>[119830]</t>
  </si>
  <si>
    <t>[119850]</t>
  </si>
  <si>
    <t>지엔씨에너지</t>
  </si>
  <si>
    <t>[099520]</t>
  </si>
  <si>
    <t>[095720]</t>
  </si>
  <si>
    <t>웅진씽크빅</t>
  </si>
  <si>
    <t>[095660]</t>
  </si>
  <si>
    <t>[131180]</t>
  </si>
  <si>
    <t>딜리</t>
  </si>
  <si>
    <t>[096770]</t>
  </si>
  <si>
    <t>SK이노베이션</t>
  </si>
  <si>
    <t>[096760]</t>
  </si>
  <si>
    <t>JW홀딩스</t>
  </si>
  <si>
    <t>[097230]</t>
  </si>
  <si>
    <t>한진중공업</t>
  </si>
  <si>
    <t>[092130]</t>
  </si>
  <si>
    <t>이크레더블</t>
  </si>
  <si>
    <t>[097950]</t>
  </si>
  <si>
    <t>CJ제일제당</t>
  </si>
  <si>
    <t>[150900]</t>
  </si>
  <si>
    <t>[126870]</t>
  </si>
  <si>
    <t>뉴로스</t>
  </si>
  <si>
    <t>[100030]</t>
  </si>
  <si>
    <t>모바일리더</t>
  </si>
  <si>
    <t>[101400]</t>
  </si>
  <si>
    <t>[127120]</t>
  </si>
  <si>
    <t>디엔에이링크</t>
  </si>
  <si>
    <t>[101730]</t>
  </si>
  <si>
    <t>조이맥스</t>
  </si>
  <si>
    <t>[104200]</t>
  </si>
  <si>
    <t>[100250]</t>
  </si>
  <si>
    <t>진양홀딩스</t>
  </si>
  <si>
    <t>[100840]</t>
  </si>
  <si>
    <t>S&amp;TC</t>
  </si>
  <si>
    <t>[101060]</t>
  </si>
  <si>
    <t>SBS미디어홀딩스</t>
  </si>
  <si>
    <t>[144620]</t>
  </si>
  <si>
    <t>코오롱머티리얼</t>
  </si>
  <si>
    <t>[101140]</t>
  </si>
  <si>
    <t>[151910]</t>
  </si>
  <si>
    <t>나노스</t>
  </si>
  <si>
    <t>[109960]</t>
  </si>
  <si>
    <t>[171010]</t>
  </si>
  <si>
    <t>램테크놀러지</t>
  </si>
  <si>
    <t>[139050]</t>
  </si>
  <si>
    <t>[090850]</t>
  </si>
  <si>
    <t>[200710]</t>
  </si>
  <si>
    <t>에이디테크놀로지</t>
  </si>
  <si>
    <t>[122450]</t>
  </si>
  <si>
    <t>KMH</t>
  </si>
  <si>
    <t>[160980]</t>
  </si>
  <si>
    <t>싸이맥스</t>
  </si>
  <si>
    <t>[115530]</t>
  </si>
  <si>
    <t>씨엔플러스</t>
  </si>
  <si>
    <t>[196490]</t>
  </si>
  <si>
    <t>디에이테크놀로지</t>
  </si>
  <si>
    <t>[109080]</t>
  </si>
  <si>
    <t>옵티시스</t>
  </si>
  <si>
    <t>[133820]</t>
  </si>
  <si>
    <t>화인베스틸</t>
  </si>
  <si>
    <t>[114630]</t>
  </si>
  <si>
    <t>우노앤컴퍼니</t>
  </si>
  <si>
    <t>[115440]</t>
  </si>
  <si>
    <t>우리넷</t>
  </si>
  <si>
    <t>[137950]</t>
  </si>
  <si>
    <t>제이씨케미칼</t>
  </si>
  <si>
    <t>[127710]</t>
  </si>
  <si>
    <t>아시아경제</t>
  </si>
  <si>
    <t>[108860]</t>
  </si>
  <si>
    <t>[217190]</t>
  </si>
  <si>
    <t>제너셈</t>
  </si>
  <si>
    <t>[200470]</t>
  </si>
  <si>
    <t>[138690]</t>
  </si>
  <si>
    <t>엘아이에스</t>
  </si>
  <si>
    <t>[112610]</t>
  </si>
  <si>
    <t>씨에스윈드</t>
  </si>
  <si>
    <t>[114570]</t>
  </si>
  <si>
    <t>지스마트글로벌</t>
  </si>
  <si>
    <t>[121440]</t>
  </si>
  <si>
    <t>[187220]</t>
  </si>
  <si>
    <t>디티앤씨</t>
  </si>
  <si>
    <t>[141070]</t>
  </si>
  <si>
    <t>맥스로텍</t>
  </si>
  <si>
    <t>[102260]</t>
  </si>
  <si>
    <t>동성코퍼레이션</t>
  </si>
  <si>
    <t>[102280]</t>
  </si>
  <si>
    <t>쌍방울</t>
  </si>
  <si>
    <t>[115480]</t>
  </si>
  <si>
    <t>씨유메디칼</t>
  </si>
  <si>
    <t>[070300]</t>
  </si>
  <si>
    <t>[103590]</t>
  </si>
  <si>
    <t>일진전기</t>
  </si>
  <si>
    <t>[103140]</t>
  </si>
  <si>
    <t>풍산</t>
  </si>
  <si>
    <t>[104700]</t>
  </si>
  <si>
    <t>한국철강</t>
  </si>
  <si>
    <t>[111820]</t>
  </si>
  <si>
    <t>[104480]</t>
  </si>
  <si>
    <t>티케이케미칼</t>
  </si>
  <si>
    <t>[121800]</t>
  </si>
  <si>
    <t>[115610]</t>
  </si>
  <si>
    <t>이미지스</t>
  </si>
  <si>
    <t>[094170]</t>
  </si>
  <si>
    <t>동운아나텍</t>
  </si>
  <si>
    <t>[107590]</t>
  </si>
  <si>
    <t>미원에스씨</t>
  </si>
  <si>
    <t>[105630]</t>
  </si>
  <si>
    <t>한세실업</t>
  </si>
  <si>
    <t>[109070]</t>
  </si>
  <si>
    <t>[106240]</t>
  </si>
  <si>
    <t>파인테크닉스</t>
  </si>
  <si>
    <t>[149940]</t>
  </si>
  <si>
    <t>[122990]</t>
  </si>
  <si>
    <t>와이솔</t>
  </si>
  <si>
    <t>[108670]</t>
  </si>
  <si>
    <t>LG하우시스</t>
  </si>
  <si>
    <t>[123860]</t>
  </si>
  <si>
    <t>아나패스</t>
  </si>
  <si>
    <t>[136510]</t>
  </si>
  <si>
    <t>쎄미시스코</t>
  </si>
  <si>
    <t>[105550]</t>
  </si>
  <si>
    <t>트루윈</t>
  </si>
  <si>
    <t>[178920]</t>
  </si>
  <si>
    <t>SKC코오롱PI</t>
  </si>
  <si>
    <t>[138610]</t>
  </si>
  <si>
    <t>나이벡</t>
  </si>
  <si>
    <t>[111770]</t>
  </si>
  <si>
    <t>영원무역</t>
  </si>
  <si>
    <t>[131390]</t>
  </si>
  <si>
    <t>피앤이솔루션</t>
  </si>
  <si>
    <t>[115160]</t>
  </si>
  <si>
    <t>휴맥스</t>
  </si>
  <si>
    <t>[117580]</t>
  </si>
  <si>
    <t>대성에너지</t>
  </si>
  <si>
    <t>[134060]</t>
  </si>
  <si>
    <t>이퓨쳐</t>
  </si>
  <si>
    <t>[096530]</t>
  </si>
  <si>
    <t>씨젠</t>
  </si>
  <si>
    <t>[118000]</t>
  </si>
  <si>
    <t>우리들휴브레인</t>
  </si>
  <si>
    <t>[120110]</t>
  </si>
  <si>
    <t>코오롱인더</t>
  </si>
  <si>
    <t>[120030]</t>
  </si>
  <si>
    <t>조선선재</t>
  </si>
  <si>
    <t>[119650]</t>
  </si>
  <si>
    <t>KC코트렐</t>
  </si>
  <si>
    <t>[122350]</t>
  </si>
  <si>
    <t>삼기오토모티브</t>
  </si>
  <si>
    <t>[122690]</t>
  </si>
  <si>
    <t>서진오토모티브</t>
  </si>
  <si>
    <t>[123410]</t>
  </si>
  <si>
    <t>코리아에프티</t>
  </si>
  <si>
    <t>[121850]</t>
  </si>
  <si>
    <t>코이즈</t>
  </si>
  <si>
    <t>[140410]</t>
  </si>
  <si>
    <t>메지온</t>
  </si>
  <si>
    <t>[138360]</t>
  </si>
  <si>
    <t>에이씨티</t>
  </si>
  <si>
    <t>[123840]</t>
  </si>
  <si>
    <t>한일진공</t>
  </si>
  <si>
    <t>[141020]</t>
  </si>
  <si>
    <t>포티스</t>
  </si>
  <si>
    <t>[177350]</t>
  </si>
  <si>
    <t>베셀</t>
  </si>
  <si>
    <t>[131100]</t>
  </si>
  <si>
    <t>[153490]</t>
  </si>
  <si>
    <t>우리이앤엘</t>
  </si>
  <si>
    <t>[123700]</t>
  </si>
  <si>
    <t>에스제이엠</t>
  </si>
  <si>
    <t>[123420]</t>
  </si>
  <si>
    <t>선데이토즈</t>
  </si>
  <si>
    <t>[214420]</t>
  </si>
  <si>
    <t>토니모리</t>
  </si>
  <si>
    <t>[160600]</t>
  </si>
  <si>
    <t>[131760]</t>
  </si>
  <si>
    <t>파인텍</t>
  </si>
  <si>
    <t>[123750]</t>
  </si>
  <si>
    <t>알톤스포츠</t>
  </si>
  <si>
    <t>[123690]</t>
  </si>
  <si>
    <t>한국화장품</t>
  </si>
  <si>
    <t>[126640]</t>
  </si>
  <si>
    <t>화신정공</t>
  </si>
  <si>
    <t>[126700]</t>
  </si>
  <si>
    <t>하이비젼시스템</t>
  </si>
  <si>
    <t>[128940]</t>
  </si>
  <si>
    <t>한미약품</t>
  </si>
  <si>
    <t>[128820]</t>
  </si>
  <si>
    <t>대성산업</t>
  </si>
  <si>
    <t>[128660]</t>
  </si>
  <si>
    <t>피제이메탈</t>
  </si>
  <si>
    <t>[131030]</t>
  </si>
  <si>
    <t>디에이치피코리아</t>
  </si>
  <si>
    <t>[131370]</t>
  </si>
  <si>
    <t>알서포트</t>
  </si>
  <si>
    <t>[153460]</t>
  </si>
  <si>
    <t>네이블커뮤니케이션즈</t>
  </si>
  <si>
    <t>[141080]</t>
  </si>
  <si>
    <t>레고켐바이오</t>
  </si>
  <si>
    <t>[134790]</t>
  </si>
  <si>
    <t>[136490]</t>
  </si>
  <si>
    <t>선진</t>
  </si>
  <si>
    <t>[134380]</t>
  </si>
  <si>
    <t>미원화학</t>
  </si>
  <si>
    <t>[143240]</t>
  </si>
  <si>
    <t>사람인에이치알</t>
  </si>
  <si>
    <t>[136480]</t>
  </si>
  <si>
    <t>하림</t>
  </si>
  <si>
    <t>[140910]</t>
  </si>
  <si>
    <t>[145270]</t>
  </si>
  <si>
    <t>케이탑리츠</t>
  </si>
  <si>
    <t>[175140]</t>
  </si>
  <si>
    <t>인포마크</t>
  </si>
  <si>
    <t>[196700]</t>
  </si>
  <si>
    <t>웹스</t>
  </si>
  <si>
    <t>[170920]</t>
  </si>
  <si>
    <t>엘티씨</t>
  </si>
  <si>
    <t>[136540]</t>
  </si>
  <si>
    <t>윈스</t>
  </si>
  <si>
    <t>[189860]</t>
  </si>
  <si>
    <t>서전기전</t>
  </si>
  <si>
    <t>[155650]</t>
  </si>
  <si>
    <t>와이엠씨</t>
  </si>
  <si>
    <t>[139480]</t>
  </si>
  <si>
    <t>이마트</t>
  </si>
  <si>
    <t>[143160]</t>
  </si>
  <si>
    <t>아이디스</t>
  </si>
  <si>
    <t>[145990]</t>
  </si>
  <si>
    <t>삼양사</t>
  </si>
  <si>
    <t>[159910]</t>
  </si>
  <si>
    <t>[147830]</t>
  </si>
  <si>
    <t>제룡산업</t>
  </si>
  <si>
    <t>[153360]</t>
  </si>
  <si>
    <t>하이골드3호</t>
  </si>
  <si>
    <t>[192390]</t>
  </si>
  <si>
    <t>윈하이텍</t>
  </si>
  <si>
    <t>[155900]</t>
  </si>
  <si>
    <t>바다로19호</t>
  </si>
  <si>
    <t>[189980]</t>
  </si>
  <si>
    <t>흥국에프엔비</t>
  </si>
  <si>
    <t>[192440]</t>
  </si>
  <si>
    <t>슈피겐코리아</t>
  </si>
  <si>
    <t>[168330]</t>
  </si>
  <si>
    <t>내츄럴엔도텍</t>
  </si>
  <si>
    <t>[178780]</t>
  </si>
  <si>
    <t>유테크</t>
  </si>
  <si>
    <t>[158310]</t>
  </si>
  <si>
    <t>[187270]</t>
  </si>
  <si>
    <t>신화콘텍</t>
  </si>
  <si>
    <t>[173940]</t>
  </si>
  <si>
    <t>에프엔씨엔터</t>
  </si>
  <si>
    <t>[191420]</t>
  </si>
  <si>
    <t>테고사이언스</t>
  </si>
  <si>
    <t>[161000]</t>
  </si>
  <si>
    <t>애경유화</t>
  </si>
  <si>
    <t>[161390]</t>
  </si>
  <si>
    <t>[161890]</t>
  </si>
  <si>
    <t>한국콜마</t>
  </si>
  <si>
    <t>[163560]</t>
  </si>
  <si>
    <t>동일고무벨트</t>
  </si>
  <si>
    <t>[189690]</t>
  </si>
  <si>
    <t>포시에스</t>
  </si>
  <si>
    <t>[161570]</t>
  </si>
  <si>
    <t>[172580]</t>
  </si>
  <si>
    <t>하이골드12호</t>
  </si>
  <si>
    <t>[170900]</t>
  </si>
  <si>
    <t>동아에스티</t>
  </si>
  <si>
    <t>[214310]</t>
  </si>
  <si>
    <t>세미콘라이트</t>
  </si>
  <si>
    <t>[214450]</t>
  </si>
  <si>
    <t>파마리서치프로덕트</t>
  </si>
  <si>
    <t>[160550]</t>
  </si>
  <si>
    <t>NEW</t>
  </si>
  <si>
    <t>[149980]</t>
  </si>
  <si>
    <t>하이로닉</t>
  </si>
  <si>
    <t>[182400]</t>
  </si>
  <si>
    <t>[194510]</t>
  </si>
  <si>
    <t>파티게임즈</t>
  </si>
  <si>
    <t>[180640]</t>
  </si>
  <si>
    <t>한진칼</t>
  </si>
  <si>
    <t>[181710]</t>
  </si>
  <si>
    <t>[187420]</t>
  </si>
  <si>
    <t>제노포커스</t>
  </si>
  <si>
    <t>[182360]</t>
  </si>
  <si>
    <t>큐브엔터</t>
  </si>
  <si>
    <t>[196170]</t>
  </si>
  <si>
    <t>알테오젠</t>
  </si>
  <si>
    <t>[166480]</t>
  </si>
  <si>
    <t>코아스템</t>
  </si>
  <si>
    <t>[183190]</t>
  </si>
  <si>
    <t>아세아시멘트</t>
  </si>
  <si>
    <t>[185750]</t>
  </si>
  <si>
    <t>종근당</t>
  </si>
  <si>
    <t>[187790]</t>
  </si>
  <si>
    <t>나노</t>
  </si>
  <si>
    <t>[192250]</t>
  </si>
  <si>
    <t>케이사인</t>
  </si>
  <si>
    <t>[194480]</t>
  </si>
  <si>
    <t>데브시스터즈</t>
  </si>
  <si>
    <t>[192820]</t>
  </si>
  <si>
    <t>코스맥스</t>
  </si>
  <si>
    <t>[214180]</t>
  </si>
  <si>
    <t>민앤지</t>
  </si>
  <si>
    <t>[196450]</t>
  </si>
  <si>
    <t>[200130]</t>
  </si>
  <si>
    <t>콜마비앤에이치</t>
  </si>
  <si>
    <t>[193250]</t>
  </si>
  <si>
    <t>[203690]</t>
  </si>
  <si>
    <t>프로스테믹스</t>
  </si>
  <si>
    <t>[200880]</t>
  </si>
  <si>
    <t>[205100]</t>
  </si>
  <si>
    <t>엑셈</t>
  </si>
  <si>
    <t>[205500]</t>
  </si>
  <si>
    <t>액션스퀘어</t>
  </si>
  <si>
    <t>[204320]</t>
  </si>
  <si>
    <t>만도</t>
  </si>
  <si>
    <t>[204630]</t>
  </si>
  <si>
    <t>[206640]</t>
  </si>
  <si>
    <t>바디텍메드</t>
  </si>
  <si>
    <t>[208140]</t>
  </si>
  <si>
    <t>[208370]</t>
  </si>
  <si>
    <t>[210540]</t>
  </si>
  <si>
    <t>디와이파워</t>
  </si>
  <si>
    <t>[213500]</t>
  </si>
  <si>
    <t>한솔제지</t>
  </si>
  <si>
    <t>[213420]</t>
  </si>
  <si>
    <t>덕산네오룩스</t>
  </si>
  <si>
    <t>[215090]</t>
  </si>
  <si>
    <t>[215100]</t>
  </si>
  <si>
    <t>[215000]</t>
  </si>
  <si>
    <t>골프존</t>
  </si>
  <si>
    <t>[218150]</t>
  </si>
  <si>
    <t>[215200]</t>
  </si>
  <si>
    <t>메가스터디교육</t>
  </si>
  <si>
    <t>[215360]</t>
  </si>
  <si>
    <t>우리산업</t>
  </si>
  <si>
    <t>[220260]</t>
  </si>
  <si>
    <t>[222420]</t>
  </si>
  <si>
    <t>[222800]</t>
  </si>
  <si>
    <t>심텍</t>
  </si>
  <si>
    <t>[224110]</t>
  </si>
  <si>
    <t>에이텍티앤</t>
  </si>
  <si>
    <t>[001250]</t>
  </si>
  <si>
    <t>GS글로벌</t>
  </si>
  <si>
    <t>[071840]</t>
  </si>
  <si>
    <t>롯데하이마트</t>
  </si>
  <si>
    <t>[083660]</t>
  </si>
  <si>
    <t>[192410]</t>
  </si>
  <si>
    <t>감마누</t>
  </si>
  <si>
    <t>[150840]</t>
  </si>
  <si>
    <t>인트로메딕</t>
  </si>
  <si>
    <t>[900070]</t>
  </si>
  <si>
    <t>글로벌에스엠</t>
  </si>
  <si>
    <t>[900120]</t>
  </si>
  <si>
    <t>씨케이에이치</t>
  </si>
  <si>
    <t>파일명</t>
    <phoneticPr fontId="12" type="noConversion"/>
  </si>
  <si>
    <t>시트명</t>
    <phoneticPr fontId="12" type="noConversion"/>
  </si>
  <si>
    <t>포괄손익계산서(세후기타포괄손익) - 별도재무제표</t>
  </si>
  <si>
    <t>포괄손익계산서, 기능별 분류(세전기타포괄손익) - 별도재무제표(선택)</t>
  </si>
  <si>
    <t>포괄손익계산서, 성격별 분류(세후기타포괄손익) - 별도재무제표</t>
  </si>
  <si>
    <t>포괄손익계산서, 성격별 분류(세전기타포괄손익) - 별도재무제표(선택)</t>
  </si>
  <si>
    <t>포괄손익계산서, 기능별 분류(세후기타포괄손익) - 연결재무제표</t>
  </si>
  <si>
    <t>포괄손익계산서(세후기타포괄손익) - 연결재무제표</t>
  </si>
  <si>
    <t>포괄손익계산서, 기능별 분류(세전기타포괄손익) - 연결재무제표(선택)</t>
  </si>
  <si>
    <t>포괄손익계산서, 성격별 분류(세후기타포괄손익) - 연결재무제표</t>
  </si>
  <si>
    <t>포괄손익계산서(세전기타포괄손익) - 연결재무제표(선택)</t>
  </si>
  <si>
    <t>포괄손익계산서, 성격별 분류(세전기타포괄손익) - 연결재무제표(선택)</t>
  </si>
  <si>
    <t>재무상태표, 유동/비유동법-연결재무제표</t>
    <phoneticPr fontId="12" type="noConversion"/>
  </si>
  <si>
    <t>종목코드</t>
    <phoneticPr fontId="12" type="noConversion"/>
  </si>
  <si>
    <t>회사명</t>
    <phoneticPr fontId="12" type="noConversion"/>
  </si>
  <si>
    <t>재무비율</t>
    <phoneticPr fontId="12" type="noConversion"/>
  </si>
  <si>
    <t>유동비율</t>
    <phoneticPr fontId="12" type="noConversion"/>
  </si>
  <si>
    <t>부채비율</t>
    <phoneticPr fontId="12" type="noConversion"/>
  </si>
  <si>
    <t>총자산증가율</t>
    <phoneticPr fontId="12" type="noConversion"/>
  </si>
  <si>
    <t>유동자산증가율</t>
    <phoneticPr fontId="12" type="noConversion"/>
  </si>
  <si>
    <t>유동부채증가율</t>
    <phoneticPr fontId="12" type="noConversion"/>
  </si>
  <si>
    <t>자본증가율</t>
    <phoneticPr fontId="12" type="noConversion"/>
  </si>
  <si>
    <t>재무상태표, 유동성배열법-별도재무제표</t>
    <phoneticPr fontId="12" type="noConversion"/>
  </si>
  <si>
    <t>재무상태표, 유동/비유동법-연결재무제표</t>
    <phoneticPr fontId="12" type="noConversion"/>
  </si>
  <si>
    <t>재무상태표, 유동성배열법-연결재무제표</t>
    <phoneticPr fontId="12" type="noConversion"/>
  </si>
  <si>
    <t>손익계산서, 기능별 분류 - 별도재무제표</t>
    <phoneticPr fontId="12" type="noConversion"/>
  </si>
  <si>
    <t>손익계산서, 성격별 분류 - 별도재무제표</t>
    <phoneticPr fontId="12" type="noConversion"/>
  </si>
  <si>
    <t>손익계산서, 기능별 분류 - 연결재무제표</t>
    <phoneticPr fontId="12" type="noConversion"/>
  </si>
  <si>
    <t>손익계산서, 성격별 분류 - 연결재무제표</t>
    <phoneticPr fontId="12" type="noConversion"/>
  </si>
  <si>
    <t>포괄손익계산서, 기능별 분류(세후기타포괄손익) - 별도재무제표</t>
    <phoneticPr fontId="12" type="noConversion"/>
  </si>
  <si>
    <t>포괄손익계산서(세전기타포괄손익) - 별도재무제표(선택)</t>
    <phoneticPr fontId="12" type="noConversion"/>
  </si>
  <si>
    <t>재무상태표, 유동성배열법-별도재무제표</t>
    <phoneticPr fontId="12" type="noConversion"/>
  </si>
  <si>
    <t>재무상태표, 유동성배열법-연결재무제표</t>
    <phoneticPr fontId="12" type="noConversion"/>
  </si>
  <si>
    <t>손익계산서, 기능별 분류 - 연결재무제표</t>
    <phoneticPr fontId="12" type="noConversion"/>
  </si>
  <si>
    <t>손익계산서, 기능별 분류 - 별도재무제표</t>
    <phoneticPr fontId="12" type="noConversion"/>
  </si>
  <si>
    <t>D220000</t>
    <phoneticPr fontId="12" type="noConversion"/>
  </si>
  <si>
    <t>D320000</t>
    <phoneticPr fontId="12" type="noConversion"/>
  </si>
  <si>
    <t>D310000</t>
    <phoneticPr fontId="12" type="noConversion"/>
  </si>
  <si>
    <t>D410000</t>
    <phoneticPr fontId="12" type="noConversion"/>
  </si>
  <si>
    <t>D410005</t>
    <phoneticPr fontId="12" type="noConversion"/>
  </si>
  <si>
    <t>D420000</t>
    <phoneticPr fontId="12" type="noConversion"/>
  </si>
  <si>
    <t>D420005</t>
    <phoneticPr fontId="12" type="noConversion"/>
  </si>
  <si>
    <t>D431410</t>
    <phoneticPr fontId="12" type="noConversion"/>
  </si>
  <si>
    <t>D431425</t>
    <phoneticPr fontId="12" type="noConversion"/>
  </si>
  <si>
    <t>D432410</t>
    <phoneticPr fontId="12" type="noConversion"/>
  </si>
  <si>
    <t>D432415</t>
    <phoneticPr fontId="12" type="noConversion"/>
  </si>
  <si>
    <t>D432420</t>
    <phoneticPr fontId="12" type="noConversion"/>
  </si>
  <si>
    <t>종목코드</t>
    <phoneticPr fontId="12" type="noConversion"/>
  </si>
  <si>
    <t>회사명</t>
    <phoneticPr fontId="12" type="noConversion"/>
  </si>
  <si>
    <t>재무비율</t>
  </si>
  <si>
    <t>재무비율</t>
    <phoneticPr fontId="12" type="noConversion"/>
  </si>
  <si>
    <t>총자산증가율</t>
  </si>
  <si>
    <t>자본증가율</t>
  </si>
  <si>
    <t>당기</t>
  </si>
  <si>
    <t xml:space="preserve">매출원가율 </t>
  </si>
  <si>
    <t>매출총이익율</t>
  </si>
  <si>
    <t>판매비와관리비율</t>
  </si>
  <si>
    <t>영업이익율</t>
  </si>
  <si>
    <t>당기순이익율</t>
  </si>
  <si>
    <t>D432425</t>
    <phoneticPr fontId="12" type="noConversion"/>
  </si>
  <si>
    <t>손익계산서, 성격별 분류 - 별도재무제표</t>
    <phoneticPr fontId="12" type="noConversion"/>
  </si>
  <si>
    <t>손익계산서, 성격별 분류 - 연결재무제표</t>
    <phoneticPr fontId="12" type="noConversion"/>
  </si>
  <si>
    <t>재무상태표, 유동/비유동법-별도재무제표</t>
    <phoneticPr fontId="12" type="noConversion"/>
  </si>
  <si>
    <t>회사코드</t>
    <phoneticPr fontId="12" type="noConversion"/>
  </si>
  <si>
    <t>D431420</t>
  </si>
  <si>
    <t>총부채증가율</t>
    <phoneticPr fontId="12" type="noConversion"/>
  </si>
  <si>
    <t>총부채증가율</t>
    <phoneticPr fontId="12" type="noConversion"/>
  </si>
  <si>
    <t>기타포괄손익/당기순이익</t>
    <phoneticPr fontId="12" type="noConversion"/>
  </si>
  <si>
    <t>제출여부</t>
    <phoneticPr fontId="12" type="noConversion"/>
  </si>
  <si>
    <t>[060310]</t>
  </si>
  <si>
    <t>3S</t>
  </si>
  <si>
    <t>[211270]</t>
  </si>
  <si>
    <t>CSA 코스믹</t>
  </si>
  <si>
    <t>SCI평가정보</t>
  </si>
  <si>
    <t>[184230]</t>
  </si>
  <si>
    <t>SGA솔루션즈</t>
  </si>
  <si>
    <t>SK머티리얼즈</t>
  </si>
  <si>
    <t>강남제비스코</t>
  </si>
  <si>
    <t>[217730]</t>
  </si>
  <si>
    <t>강스템바이오텍</t>
  </si>
  <si>
    <t>갤럭시아에스엠</t>
  </si>
  <si>
    <t>[214330]</t>
  </si>
  <si>
    <t>금호에이치티</t>
  </si>
  <si>
    <t>[092440]</t>
  </si>
  <si>
    <t>기신정기</t>
  </si>
  <si>
    <t>까뮤이앤씨</t>
  </si>
  <si>
    <t>[190510]</t>
  </si>
  <si>
    <t>나무가</t>
  </si>
  <si>
    <t>[212560]</t>
  </si>
  <si>
    <t>네오오토</t>
  </si>
  <si>
    <t>[222040]</t>
  </si>
  <si>
    <t>[006370]</t>
  </si>
  <si>
    <t>대구백화점</t>
  </si>
  <si>
    <t>[008110]</t>
  </si>
  <si>
    <t>대동전자</t>
  </si>
  <si>
    <t>[020180]</t>
  </si>
  <si>
    <t>대신정보통신</t>
  </si>
  <si>
    <t>[192080]</t>
  </si>
  <si>
    <t>더블유게임즈</t>
  </si>
  <si>
    <t>[206560]</t>
  </si>
  <si>
    <t>덱스터</t>
  </si>
  <si>
    <t>[018500]</t>
  </si>
  <si>
    <t>동원금속</t>
  </si>
  <si>
    <t>롯데정밀화학</t>
  </si>
  <si>
    <t>[127160]</t>
  </si>
  <si>
    <t>매직마이크로</t>
  </si>
  <si>
    <t>멀티캠퍼스</t>
  </si>
  <si>
    <t>[133750]</t>
  </si>
  <si>
    <t>메가엠디</t>
  </si>
  <si>
    <t>[058110]</t>
  </si>
  <si>
    <t>멕아이씨에스</t>
  </si>
  <si>
    <t>[213090]</t>
  </si>
  <si>
    <t>미래테크놀로지</t>
  </si>
  <si>
    <t>[207760]</t>
  </si>
  <si>
    <t>미스터블루</t>
  </si>
  <si>
    <t>[018700]</t>
  </si>
  <si>
    <t>바른손</t>
  </si>
  <si>
    <t>[208710]</t>
  </si>
  <si>
    <t>바이오로그디바이스</t>
  </si>
  <si>
    <t>[019660]</t>
  </si>
  <si>
    <t>[225530]</t>
  </si>
  <si>
    <t>보광산업</t>
  </si>
  <si>
    <t>[054220]</t>
  </si>
  <si>
    <t>비츠로시스</t>
  </si>
  <si>
    <t>[001470]</t>
  </si>
  <si>
    <t>삼부토건</t>
  </si>
  <si>
    <t>서연이화</t>
  </si>
  <si>
    <t>서연탑메탈</t>
  </si>
  <si>
    <t>[075580]</t>
  </si>
  <si>
    <t>세진중공업</t>
  </si>
  <si>
    <t>[236200]</t>
  </si>
  <si>
    <t>슈프리마에이치큐</t>
  </si>
  <si>
    <t>[039670]</t>
  </si>
  <si>
    <t>[047920]</t>
  </si>
  <si>
    <t>아이오케이</t>
  </si>
  <si>
    <t>[185490]</t>
  </si>
  <si>
    <t>아이진</t>
  </si>
  <si>
    <t>[124500]</t>
  </si>
  <si>
    <t>아이티센</t>
  </si>
  <si>
    <t>[013310]</t>
  </si>
  <si>
    <t>아진산업</t>
  </si>
  <si>
    <t>[065660]</t>
  </si>
  <si>
    <t>안트로젠</t>
  </si>
  <si>
    <t>[109610]</t>
  </si>
  <si>
    <t>[023960]</t>
  </si>
  <si>
    <t>에쓰씨엔지니어링</t>
  </si>
  <si>
    <t>에이치엘비생명과학</t>
  </si>
  <si>
    <t>[214870]</t>
  </si>
  <si>
    <t>[092870]</t>
  </si>
  <si>
    <t>엑시콘</t>
  </si>
  <si>
    <t>[217820]</t>
  </si>
  <si>
    <t>엔에스</t>
  </si>
  <si>
    <t>[206400]</t>
  </si>
  <si>
    <t>엔터메이트</t>
  </si>
  <si>
    <t>엠젠플러스</t>
  </si>
  <si>
    <t>[180400]</t>
  </si>
  <si>
    <t>[115960]</t>
  </si>
  <si>
    <t>연우</t>
  </si>
  <si>
    <t>[122640]</t>
  </si>
  <si>
    <t>예스티</t>
  </si>
  <si>
    <t>[002630]</t>
  </si>
  <si>
    <t>오리엔트바이오</t>
  </si>
  <si>
    <t>[142210]</t>
  </si>
  <si>
    <t>유니트론텍</t>
  </si>
  <si>
    <t>[056090]</t>
  </si>
  <si>
    <t>유앤아이</t>
  </si>
  <si>
    <t>[000220]</t>
  </si>
  <si>
    <t>유유제약</t>
  </si>
  <si>
    <t>[191410]</t>
  </si>
  <si>
    <t>육일씨엔에쓰</t>
  </si>
  <si>
    <t>[067010]</t>
  </si>
  <si>
    <t>이씨에스</t>
  </si>
  <si>
    <t>[223310]</t>
  </si>
  <si>
    <t>이에스브이</t>
  </si>
  <si>
    <t>[000760]</t>
  </si>
  <si>
    <t>이화산업</t>
  </si>
  <si>
    <t>인베니아</t>
  </si>
  <si>
    <t>[007570]</t>
  </si>
  <si>
    <t>일양약품</t>
  </si>
  <si>
    <t>[226320]</t>
  </si>
  <si>
    <t>제이스텍</t>
  </si>
  <si>
    <t>[194370]</t>
  </si>
  <si>
    <t>제이에스코퍼레이션</t>
  </si>
  <si>
    <t>[214370]</t>
  </si>
  <si>
    <t>케어젠</t>
  </si>
  <si>
    <t>[221980]</t>
  </si>
  <si>
    <t>케이디켐</t>
  </si>
  <si>
    <t>[224060]</t>
  </si>
  <si>
    <t>코디엠</t>
  </si>
  <si>
    <t>[152330]</t>
  </si>
  <si>
    <t>코리아오토글라스</t>
  </si>
  <si>
    <t>[115180]</t>
  </si>
  <si>
    <t>큐리언트</t>
  </si>
  <si>
    <t>[140860]</t>
  </si>
  <si>
    <t>파크시스템스</t>
  </si>
  <si>
    <t>팬스타엔터프라이즈</t>
  </si>
  <si>
    <t>[222110]</t>
  </si>
  <si>
    <t>팬젠</t>
  </si>
  <si>
    <t>[230240]</t>
  </si>
  <si>
    <t>[221840]</t>
  </si>
  <si>
    <t>하이즈항공</t>
  </si>
  <si>
    <t>[222080]</t>
  </si>
  <si>
    <t>[222980]</t>
  </si>
  <si>
    <t>한국맥널티</t>
  </si>
  <si>
    <t>[000970]</t>
  </si>
  <si>
    <t>한국주철관공업</t>
  </si>
  <si>
    <t>[221610]</t>
  </si>
  <si>
    <t>한프</t>
  </si>
  <si>
    <t>[227840]</t>
  </si>
  <si>
    <t>[039610]</t>
  </si>
  <si>
    <t>[145020]</t>
  </si>
  <si>
    <t>휴젤</t>
  </si>
  <si>
    <t>[950110]</t>
  </si>
  <si>
    <t>[900100]</t>
  </si>
  <si>
    <t>뉴프라이드</t>
  </si>
  <si>
    <t>[950130]</t>
  </si>
  <si>
    <t>엑세스바이오</t>
  </si>
  <si>
    <t>[089230]</t>
  </si>
  <si>
    <t>[053660]</t>
  </si>
  <si>
    <t>현진소재</t>
  </si>
  <si>
    <t>[900080]</t>
  </si>
  <si>
    <t>에스앤씨엔진그룹</t>
  </si>
  <si>
    <t>[900110]</t>
  </si>
  <si>
    <t>이스트아시아홀딩스</t>
  </si>
  <si>
    <t>[900140]</t>
  </si>
  <si>
    <t>[900250]</t>
  </si>
  <si>
    <t>크리스탈신소재</t>
  </si>
  <si>
    <t>AP위성</t>
  </si>
  <si>
    <t>GH신소재</t>
  </si>
  <si>
    <t>ITX엠투엠</t>
  </si>
  <si>
    <t>[234080]</t>
  </si>
  <si>
    <t>JW생명과학</t>
  </si>
  <si>
    <t>JW신약</t>
  </si>
  <si>
    <t>KMH하이텍</t>
  </si>
  <si>
    <t>[229640]</t>
  </si>
  <si>
    <t>LS전선아시아</t>
  </si>
  <si>
    <t>NHN한국사이버결제</t>
  </si>
  <si>
    <t>SFA반도체</t>
  </si>
  <si>
    <t>SG충방</t>
  </si>
  <si>
    <t>SK디앤디</t>
  </si>
  <si>
    <t>SK바이오랜드</t>
  </si>
  <si>
    <t>SPC삼립</t>
  </si>
  <si>
    <t>THE E&amp;M</t>
  </si>
  <si>
    <t>W홀딩컴퍼니</t>
  </si>
  <si>
    <t>국제약품</t>
  </si>
  <si>
    <t>글로본</t>
  </si>
  <si>
    <t>[217270]</t>
  </si>
  <si>
    <t>넵튠</t>
  </si>
  <si>
    <t>[144510]</t>
  </si>
  <si>
    <t>녹십자랩셀</t>
  </si>
  <si>
    <t>[144960]</t>
  </si>
  <si>
    <t>뉴파워프라즈마</t>
  </si>
  <si>
    <t>[222810]</t>
  </si>
  <si>
    <t>[004440]</t>
  </si>
  <si>
    <t>대림씨엔에스</t>
  </si>
  <si>
    <t>[071460]</t>
  </si>
  <si>
    <t>대유플러스</t>
  </si>
  <si>
    <t>[145720]</t>
  </si>
  <si>
    <t>덴티움</t>
  </si>
  <si>
    <t>[228340]</t>
  </si>
  <si>
    <t>동양파일</t>
  </si>
  <si>
    <t>[241560]</t>
  </si>
  <si>
    <t>두산밥캣</t>
  </si>
  <si>
    <t>[016740]</t>
  </si>
  <si>
    <t>두올</t>
  </si>
  <si>
    <t>[203650]</t>
  </si>
  <si>
    <t>드림시큐리티</t>
  </si>
  <si>
    <t>[214680]</t>
  </si>
  <si>
    <t>디알텍</t>
  </si>
  <si>
    <t>[228850]</t>
  </si>
  <si>
    <t>레이언스</t>
  </si>
  <si>
    <t>[238120]</t>
  </si>
  <si>
    <t>로고스바이오</t>
  </si>
  <si>
    <t>리더스코스메틱</t>
  </si>
  <si>
    <t>[147760]</t>
  </si>
  <si>
    <t>마이크로프랜드</t>
  </si>
  <si>
    <t>모다이노칩</t>
  </si>
  <si>
    <t>[204210]</t>
  </si>
  <si>
    <t>모두투어리츠</t>
  </si>
  <si>
    <t>[087260]</t>
  </si>
  <si>
    <t>모바일어플라이언스</t>
  </si>
  <si>
    <t>[250060]</t>
  </si>
  <si>
    <t>모비스</t>
  </si>
  <si>
    <t>[239340]</t>
  </si>
  <si>
    <t>[201490]</t>
  </si>
  <si>
    <t>미투온</t>
  </si>
  <si>
    <t>[142760]</t>
  </si>
  <si>
    <t>바이오리더스</t>
  </si>
  <si>
    <t>바이온</t>
  </si>
  <si>
    <t>브레인콘텐츠</t>
  </si>
  <si>
    <t>사조동아원</t>
  </si>
  <si>
    <t>샘표</t>
  </si>
  <si>
    <t>[248170]</t>
  </si>
  <si>
    <t>서울리거</t>
  </si>
  <si>
    <t>[140070]</t>
  </si>
  <si>
    <t>서플러스글로벌</t>
  </si>
  <si>
    <t>셀바스AI</t>
  </si>
  <si>
    <t>셀바스헬스케어</t>
  </si>
  <si>
    <t>[230980]</t>
  </si>
  <si>
    <t>솔트웍스</t>
  </si>
  <si>
    <t>[050960]</t>
  </si>
  <si>
    <t>수산아이앤티</t>
  </si>
  <si>
    <t>스킨앤스킨</t>
  </si>
  <si>
    <t>[215600]</t>
  </si>
  <si>
    <t>신라젠</t>
  </si>
  <si>
    <t>[002800]</t>
  </si>
  <si>
    <t>신신제약</t>
  </si>
  <si>
    <t>[208640]</t>
  </si>
  <si>
    <t>썸에이지</t>
  </si>
  <si>
    <t>쎄노텍</t>
  </si>
  <si>
    <t>씨아이에스</t>
  </si>
  <si>
    <t>[225330]</t>
  </si>
  <si>
    <t>씨엠에스에듀</t>
  </si>
  <si>
    <t>[246720]</t>
  </si>
  <si>
    <t>아스타</t>
  </si>
  <si>
    <t>[226350]</t>
  </si>
  <si>
    <t>아이엠텍</t>
  </si>
  <si>
    <t>[148250]</t>
  </si>
  <si>
    <t>알엔투테크놀로지</t>
  </si>
  <si>
    <t>알파홀딩스</t>
  </si>
  <si>
    <t>[196300]</t>
  </si>
  <si>
    <t>애니젠</t>
  </si>
  <si>
    <t>[238090]</t>
  </si>
  <si>
    <t>앤디포스</t>
  </si>
  <si>
    <t>[217480]</t>
  </si>
  <si>
    <t>에스디생명공학</t>
  </si>
  <si>
    <t>에스마크</t>
  </si>
  <si>
    <t>에스엠코어</t>
  </si>
  <si>
    <t>에스제이케이</t>
  </si>
  <si>
    <t>[237690]</t>
  </si>
  <si>
    <t>에스티팜</t>
  </si>
  <si>
    <t>[072990]</t>
  </si>
  <si>
    <t>에이치시티</t>
  </si>
  <si>
    <t>[176440]</t>
  </si>
  <si>
    <t>에이치엔티</t>
  </si>
  <si>
    <t>에이치엘비파워</t>
  </si>
  <si>
    <t>[239610]</t>
  </si>
  <si>
    <t>에이치엘사이언스</t>
  </si>
  <si>
    <t>에이프로젠 H&amp;G</t>
  </si>
  <si>
    <t>[230360]</t>
  </si>
  <si>
    <t>에코마케팅</t>
  </si>
  <si>
    <t>에코바이오</t>
  </si>
  <si>
    <t>[083500]</t>
  </si>
  <si>
    <t>에프엔에스테크</t>
  </si>
  <si>
    <t>엔에스엔</t>
  </si>
  <si>
    <t>[208860]</t>
  </si>
  <si>
    <t>엔지스테크널러지</t>
  </si>
  <si>
    <t>[156100]</t>
  </si>
  <si>
    <t>엘앤케이바이오</t>
  </si>
  <si>
    <t>[241790]</t>
  </si>
  <si>
    <t>오션브릿지</t>
  </si>
  <si>
    <t>[123010]</t>
  </si>
  <si>
    <t>와이오엠</t>
  </si>
  <si>
    <t>와이제이엠게임즈</t>
  </si>
  <si>
    <t>[070960]</t>
  </si>
  <si>
    <t>용평리조트</t>
  </si>
  <si>
    <t>[073560]</t>
  </si>
  <si>
    <t>우리손에프앤지</t>
  </si>
  <si>
    <t>[240810]</t>
  </si>
  <si>
    <t>원익홀딩스</t>
  </si>
  <si>
    <t>[203450]</t>
  </si>
  <si>
    <t>유니온커뮤니티</t>
  </si>
  <si>
    <t>[241690]</t>
  </si>
  <si>
    <t>유니테크노</t>
  </si>
  <si>
    <t>[206650]</t>
  </si>
  <si>
    <t>유바이오로직스</t>
  </si>
  <si>
    <t>유비쿼스홀딩스</t>
  </si>
  <si>
    <t>이매진아시아</t>
  </si>
  <si>
    <t>이에스에이</t>
  </si>
  <si>
    <t>[216050]</t>
  </si>
  <si>
    <t>인크로스</t>
  </si>
  <si>
    <t>[189300]</t>
  </si>
  <si>
    <t>인텔리안테크</t>
  </si>
  <si>
    <t>[249420]</t>
  </si>
  <si>
    <t>일동홀딩스</t>
  </si>
  <si>
    <t>[950140]</t>
  </si>
  <si>
    <t>잉글우드랩</t>
  </si>
  <si>
    <t>[234920]</t>
  </si>
  <si>
    <t>자이글</t>
  </si>
  <si>
    <t>[174880]</t>
  </si>
  <si>
    <t>장원테크</t>
  </si>
  <si>
    <t>정다운</t>
  </si>
  <si>
    <t>정산애강</t>
  </si>
  <si>
    <t>제이에스티나</t>
  </si>
  <si>
    <t>[208350]</t>
  </si>
  <si>
    <t>지란지교시큐리티</t>
  </si>
  <si>
    <t>[204840]</t>
  </si>
  <si>
    <t>지엘팜텍</t>
  </si>
  <si>
    <t>코디</t>
  </si>
  <si>
    <t>[183300]</t>
  </si>
  <si>
    <t>코미코</t>
  </si>
  <si>
    <t>[241710]</t>
  </si>
  <si>
    <t>코스메카코리아</t>
  </si>
  <si>
    <t>[237880]</t>
  </si>
  <si>
    <t>클리오</t>
  </si>
  <si>
    <t>키위미디어그룹</t>
  </si>
  <si>
    <t>태림포장</t>
  </si>
  <si>
    <t>티비에이치글로벌</t>
  </si>
  <si>
    <t>[038160]</t>
  </si>
  <si>
    <t>팍스넷</t>
  </si>
  <si>
    <t>포스링크</t>
  </si>
  <si>
    <t>[195440]</t>
  </si>
  <si>
    <t>[214270]</t>
  </si>
  <si>
    <t>퓨쳐스트림네트웍스</t>
  </si>
  <si>
    <t>[220100]</t>
  </si>
  <si>
    <t>퓨쳐켐</t>
  </si>
  <si>
    <t>[241820]</t>
  </si>
  <si>
    <t>피씨엘</t>
  </si>
  <si>
    <t>[237750]</t>
  </si>
  <si>
    <t>피앤씨테크</t>
  </si>
  <si>
    <t>[219550]</t>
  </si>
  <si>
    <t>[220630]</t>
  </si>
  <si>
    <t>해마로푸드서비스</t>
  </si>
  <si>
    <t>[195870]</t>
  </si>
  <si>
    <t>해성디에스</t>
  </si>
  <si>
    <t>[101530]</t>
  </si>
  <si>
    <t>해태제과식품</t>
  </si>
  <si>
    <t>[220180]</t>
  </si>
  <si>
    <t>핸디소프트</t>
  </si>
  <si>
    <t>[143210]</t>
  </si>
  <si>
    <t>핸즈코퍼레이션</t>
  </si>
  <si>
    <t>[204990]</t>
  </si>
  <si>
    <t>형지엘리트</t>
  </si>
  <si>
    <t>[111110]</t>
  </si>
  <si>
    <t>호전실업</t>
  </si>
  <si>
    <t>홈센타홀딩스</t>
  </si>
  <si>
    <t>[241590]</t>
  </si>
  <si>
    <t>화승엔터프라이즈</t>
  </si>
  <si>
    <t>[243070]</t>
  </si>
  <si>
    <t>휴온스글로벌</t>
  </si>
  <si>
    <t>[900280]</t>
  </si>
  <si>
    <t>골든센츄리</t>
  </si>
  <si>
    <t>[900260]</t>
  </si>
  <si>
    <t>로스웰</t>
  </si>
  <si>
    <t>[900300]</t>
  </si>
  <si>
    <t>오가닉티코스메틱</t>
  </si>
  <si>
    <t>연결/별도</t>
    <phoneticPr fontId="12" type="noConversion"/>
  </si>
  <si>
    <t>비교선택</t>
    <phoneticPr fontId="12" type="noConversion"/>
  </si>
  <si>
    <t>재무비율 비교</t>
    <phoneticPr fontId="12" type="noConversion"/>
  </si>
  <si>
    <t>비율</t>
    <phoneticPr fontId="12" type="noConversion"/>
  </si>
  <si>
    <t>재무비율 비교 시트로 이동</t>
  </si>
  <si>
    <t xml:space="preserve">   자본금</t>
    <phoneticPr fontId="12" type="noConversion"/>
  </si>
  <si>
    <r>
      <t xml:space="preserve">   이익잉여금</t>
    </r>
    <r>
      <rPr>
        <b/>
        <sz val="10"/>
        <color indexed="63"/>
        <rFont val="굴림"/>
        <family val="3"/>
        <charset val="129"/>
      </rPr>
      <t>(결손금)</t>
    </r>
    <phoneticPr fontId="12" type="noConversion"/>
  </si>
  <si>
    <t xml:space="preserve">   지배기업의 소유주에게 귀속되는 자본</t>
    <phoneticPr fontId="12" type="noConversion"/>
  </si>
  <si>
    <t>ifrs-full_AssetsAbstract</t>
  </si>
  <si>
    <t>ifrs-full_CurrentAssets</t>
  </si>
  <si>
    <t>ifrs-full_NoncurrentAssets</t>
  </si>
  <si>
    <t>ifrs-full_Assets</t>
  </si>
  <si>
    <t>ifrs-full_LiabilitiesAbstract</t>
  </si>
  <si>
    <t>ifrs-full_CurrentLiabilities</t>
  </si>
  <si>
    <t>ifrs-full_NoncurrentLiabilities</t>
  </si>
  <si>
    <t>ifrs-full_Liabilities</t>
  </si>
  <si>
    <t>ifrs-full_EquityAbstract</t>
  </si>
  <si>
    <t>ifrs-full_IssuedCapital</t>
  </si>
  <si>
    <t>ifrs-full_RetainedEarnings</t>
  </si>
  <si>
    <t>ifrs-full_EquityAttributableToOwnersOfParent</t>
  </si>
  <si>
    <t>ifrs-full_NoncontrollingInterests</t>
  </si>
  <si>
    <t>ifrs-full_Equity</t>
  </si>
  <si>
    <t>ifrs-full_EquityAndLiabilities</t>
  </si>
  <si>
    <t xml:space="preserve">   자본금</t>
    <phoneticPr fontId="12" type="noConversion"/>
  </si>
  <si>
    <r>
      <t xml:space="preserve">   이익잉여금</t>
    </r>
    <r>
      <rPr>
        <b/>
        <sz val="10"/>
        <color indexed="63"/>
        <rFont val="굴림"/>
        <family val="3"/>
        <charset val="129"/>
      </rPr>
      <t>(결손금)</t>
    </r>
    <phoneticPr fontId="12" type="noConversion"/>
  </si>
  <si>
    <t>ifrs-full_SharePremium</t>
  </si>
  <si>
    <t xml:space="preserve">   주식발행초과금</t>
    <phoneticPr fontId="12" type="noConversion"/>
  </si>
  <si>
    <t xml:space="preserve">   자본금</t>
    <phoneticPr fontId="12" type="noConversion"/>
  </si>
  <si>
    <t xml:space="preserve">   주식발행초과금</t>
    <phoneticPr fontId="12" type="noConversion"/>
  </si>
  <si>
    <t>ifrs-full_Revenue</t>
  </si>
  <si>
    <t>ifrs-full_CostOfSales</t>
  </si>
  <si>
    <t>ifrs-full_GrossProfit</t>
  </si>
  <si>
    <t>ifrs-full_FinanceIncome</t>
  </si>
  <si>
    <t>ifrs-full_FinanceCosts</t>
  </si>
  <si>
    <t>ifrs-full_ProfitLossBeforeTax</t>
  </si>
  <si>
    <t>ifrs-full_IncomeTaxExpenseContinuingOperations</t>
  </si>
  <si>
    <t>ifrs-full_ProfitLossFromContinuingOperations</t>
  </si>
  <si>
    <t>ifrs-full_ProfitLossFromDiscontinuedOperations</t>
  </si>
  <si>
    <t>ifrs-full_ProfitLoss</t>
  </si>
  <si>
    <t>ifrs-full_ProfitLossAttributableToAbstract</t>
  </si>
  <si>
    <t>ifrs-full_ProfitLossAttributableToOwnersOfParent</t>
  </si>
  <si>
    <t>ifrs-full_ProfitLossAttributableToNoncontrollingInterests</t>
  </si>
  <si>
    <t>ifrs-full_EarningsPerShareAbstract</t>
  </si>
  <si>
    <t>ifrs-full_BasicEarningsLossPerShare</t>
  </si>
  <si>
    <t>ifrs-full_DilutedEarningsLossPerShare</t>
  </si>
  <si>
    <t>dart_OtherComprehensiveIncomeThatWillNotBeReclassifiedToProfitOrLossNetOfTax</t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</si>
  <si>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</si>
  <si>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</si>
  <si>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t>총 포괄손익의 귀속 [abstract]</t>
    <phoneticPr fontId="12" type="noConversion"/>
  </si>
  <si>
    <t xml:space="preserve">   총 포괄손익, 지배기업의 소유주에게 귀속되는 지분</t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</si>
  <si>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비지배지분</t>
    </r>
    <phoneticPr fontId="12" type="noConversion"/>
  </si>
  <si>
    <t>ifrs-full_OtherComprehensiveIncome</t>
  </si>
  <si>
    <t>ifrs-full_ComprehensiveIncome</t>
  </si>
  <si>
    <t>ifrs-full_ComprehensiveIncomeAttributableToAbstract</t>
  </si>
  <si>
    <t>ifrs-full_ComprehensiveIncomeAttributableToOwnersOfParent</t>
  </si>
  <si>
    <t>ifrs-full_ComprehensiveIncomeAttributableToNoncontrollingInterests</t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</si>
  <si>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</si>
  <si>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</si>
  <si>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</si>
  <si>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</si>
  <si>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재분류될수 있는 항목과 관련된 법인세</t>
    </r>
    <phoneticPr fontId="12" type="noConversion"/>
  </si>
  <si>
    <t>총 포괄손익의 귀속 [abstract]</t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</si>
  <si>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지배기업의 소유주에게 귀속되는 지분</t>
    </r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</si>
  <si>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비지배지분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</si>
  <si>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</si>
  <si>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</si>
  <si>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항목과 관련된 법인세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</si>
  <si>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</si>
  <si>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</si>
  <si>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t>총 포괄손익의 귀속 [abstract]</t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</si>
  <si>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지배기업의 소유주에게 귀속되는 지분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</si>
  <si>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</si>
  <si>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</si>
  <si>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</si>
  <si>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재분류될수 있는 항목과 관련된 법인세</t>
    </r>
    <phoneticPr fontId="12" type="noConversion"/>
  </si>
  <si>
    <t>총 포괄손익의 귀속 [abstract]</t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</si>
  <si>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지배기업의 소유주에게 귀속되는 지분</t>
    </r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</si>
  <si>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비지배지분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</si>
  <si>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재분류될수 있는 항목과 관련된 법인세</t>
    </r>
    <phoneticPr fontId="12" type="noConversion"/>
  </si>
  <si>
    <r>
      <t xml:space="preserve">   </t>
    </r>
    <r>
      <rPr>
        <b/>
        <sz val="10"/>
        <color indexed="63"/>
        <rFont val="굴림"/>
        <family val="3"/>
        <charset val="129"/>
      </rPr>
      <t>당기손익으로 재분류되지 않는 항목과 관련된 법인세</t>
    </r>
    <phoneticPr fontId="12" type="noConversion"/>
  </si>
  <si>
    <r>
      <t xml:space="preserve"> 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</si>
  <si>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  </t>
    </r>
    <r>
      <rPr>
        <b/>
        <sz val="10"/>
        <color indexed="63"/>
        <rFont val="굴림"/>
        <family val="3"/>
        <charset val="129"/>
      </rPr>
      <t>당기손익으로 재분류되지 않는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</si>
  <si>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</si>
  <si>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</si>
  <si>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</si>
  <si>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</si>
  <si>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</si>
  <si>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항목과 관련된 법인세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</si>
  <si>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재분류될수 있는 항목과 관련된 법인세</t>
    </r>
    <phoneticPr fontId="12" type="noConversion"/>
  </si>
  <si>
    <t>총 포괄손익의 귀속 [abstract]</t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</si>
  <si>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지배기업의 소유주에게 귀속되는 지분</t>
    </r>
    <phoneticPr fontId="12" type="noConversion"/>
  </si>
  <si>
    <r>
      <t xml:space="preserve">   총</t>
    </r>
    <r>
      <rPr>
        <b/>
        <sz val="10"/>
        <color indexed="63"/>
        <rFont val="굴림"/>
        <family val="3"/>
        <charset val="129"/>
      </rPr>
      <t xml:space="preserve"> </t>
    </r>
    <r>
      <rPr>
        <b/>
        <sz val="10"/>
        <color indexed="63"/>
        <rFont val="굴림"/>
        <family val="3"/>
        <charset val="129"/>
      </rPr>
      <t>포괄손익, 비지배지분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</si>
  <si>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</si>
  <si>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재분류될 수 있는 항목(세전기타포괄손익)</t>
    </r>
    <phoneticPr fontId="12" type="noConversion"/>
  </si>
  <si>
    <r>
      <t xml:space="preserve"> </t>
    </r>
    <r>
      <rPr>
        <b/>
        <sz val="10"/>
        <color indexed="63"/>
        <rFont val="굴림"/>
        <family val="3"/>
        <charset val="129"/>
      </rPr>
      <t xml:space="preserve">  </t>
    </r>
    <r>
      <rPr>
        <b/>
        <sz val="10"/>
        <color indexed="63"/>
        <rFont val="굴림"/>
        <family val="3"/>
        <charset val="129"/>
      </rPr>
      <t>당기손익으로 재분류되지 않는 항목과 관련된 법인세</t>
    </r>
    <phoneticPr fontId="12" type="noConversion"/>
  </si>
  <si>
    <t>종목코드</t>
    <phoneticPr fontId="12" type="noConversion"/>
  </si>
  <si>
    <t>회사명</t>
    <phoneticPr fontId="12" type="noConversion"/>
  </si>
  <si>
    <t>재무비율</t>
    <phoneticPr fontId="12" type="noConversion"/>
  </si>
  <si>
    <t>종목코드</t>
    <phoneticPr fontId="12" type="noConversion"/>
  </si>
  <si>
    <t>APS홀딩스</t>
  </si>
  <si>
    <t>[265520]</t>
  </si>
  <si>
    <t>BGF</t>
  </si>
  <si>
    <t>[282330]</t>
  </si>
  <si>
    <t>CJ ENM</t>
  </si>
  <si>
    <t>DB</t>
  </si>
  <si>
    <t>DB하이텍</t>
  </si>
  <si>
    <t>[245620]</t>
  </si>
  <si>
    <t>EDGC</t>
  </si>
  <si>
    <t>GV</t>
  </si>
  <si>
    <t>HDC</t>
  </si>
  <si>
    <t>HDC아이콘트롤스</t>
  </si>
  <si>
    <t>HDC현대EP</t>
  </si>
  <si>
    <t>[294870]</t>
  </si>
  <si>
    <t>HDC현대산업개발</t>
  </si>
  <si>
    <t>HMM</t>
  </si>
  <si>
    <t>HSD엔진</t>
  </si>
  <si>
    <t>[950170]</t>
  </si>
  <si>
    <t>JTC</t>
  </si>
  <si>
    <t>KBI메탈</t>
  </si>
  <si>
    <t>KD</t>
  </si>
  <si>
    <t>KG동부제철</t>
  </si>
  <si>
    <t>KTis</t>
  </si>
  <si>
    <t>LG헬로비전</t>
  </si>
  <si>
    <t>MP그룹</t>
  </si>
  <si>
    <t>MP한강</t>
  </si>
  <si>
    <t>NE능률</t>
  </si>
  <si>
    <t>NHN벅스</t>
  </si>
  <si>
    <t>[218410]</t>
  </si>
  <si>
    <t>RFHIC</t>
  </si>
  <si>
    <t>[255220]</t>
  </si>
  <si>
    <t>SG</t>
  </si>
  <si>
    <t>SK디스커버리</t>
  </si>
  <si>
    <t>SK렌터카</t>
  </si>
  <si>
    <t>[285130]</t>
  </si>
  <si>
    <t>SM Life Design</t>
  </si>
  <si>
    <t>[950180]</t>
  </si>
  <si>
    <t>SNK</t>
  </si>
  <si>
    <t>TCC스틸</t>
  </si>
  <si>
    <t>THE MIDONG</t>
  </si>
  <si>
    <t>UCI</t>
  </si>
  <si>
    <t>WI</t>
  </si>
  <si>
    <t>YBM넷</t>
  </si>
  <si>
    <t>강원</t>
  </si>
  <si>
    <t>경남바이오파마</t>
  </si>
  <si>
    <t>[267290]</t>
  </si>
  <si>
    <t>경동인베스트</t>
  </si>
  <si>
    <t>[198440]</t>
  </si>
  <si>
    <t>고려시멘트</t>
  </si>
  <si>
    <t>골드퍼시픽</t>
  </si>
  <si>
    <t>골프존뉴딘홀딩스</t>
  </si>
  <si>
    <t>[204020]</t>
  </si>
  <si>
    <t>그리티</t>
  </si>
  <si>
    <t>그린케미칼</t>
  </si>
  <si>
    <t>[186230]</t>
  </si>
  <si>
    <t>그린플러스</t>
  </si>
  <si>
    <t>[204620]</t>
  </si>
  <si>
    <t>글로벌텍스프리</t>
  </si>
  <si>
    <t>글로스퍼랩스</t>
  </si>
  <si>
    <t>[308100]</t>
  </si>
  <si>
    <t>까스텔바작</t>
  </si>
  <si>
    <t>[286750]</t>
  </si>
  <si>
    <t>나노브릭</t>
  </si>
  <si>
    <t>[242040]</t>
  </si>
  <si>
    <t>나무기술</t>
  </si>
  <si>
    <t>[267320]</t>
  </si>
  <si>
    <t>나인테크</t>
  </si>
  <si>
    <t>[111710]</t>
  </si>
  <si>
    <t>남화산업</t>
  </si>
  <si>
    <t>네스엠</t>
  </si>
  <si>
    <t>[253590]</t>
  </si>
  <si>
    <t>네오셈</t>
  </si>
  <si>
    <t>네오위즈</t>
  </si>
  <si>
    <t>[311390]</t>
  </si>
  <si>
    <t>네오크레마</t>
  </si>
  <si>
    <t>[290660]</t>
  </si>
  <si>
    <t>네오펙트</t>
  </si>
  <si>
    <t>[306620]</t>
  </si>
  <si>
    <t>네온테크</t>
  </si>
  <si>
    <t>넥스트사이언스</t>
  </si>
  <si>
    <t>[225570]</t>
  </si>
  <si>
    <t>넷게임즈</t>
  </si>
  <si>
    <t>[251270]</t>
  </si>
  <si>
    <t>넷마블</t>
  </si>
  <si>
    <t>[104620]</t>
  </si>
  <si>
    <t>노랑풍선</t>
  </si>
  <si>
    <t>[194700]</t>
  </si>
  <si>
    <t>노바렉스</t>
  </si>
  <si>
    <t>[285490]</t>
  </si>
  <si>
    <t>노바텍</t>
  </si>
  <si>
    <t>[278650]</t>
  </si>
  <si>
    <t>노터스</t>
  </si>
  <si>
    <t>[234690]</t>
  </si>
  <si>
    <t>녹십자웰빙</t>
  </si>
  <si>
    <t>녹원씨엔아이</t>
  </si>
  <si>
    <t>뉴지랩</t>
  </si>
  <si>
    <t>[270870]</t>
  </si>
  <si>
    <t>뉴트리</t>
  </si>
  <si>
    <t>다스코</t>
  </si>
  <si>
    <t>대명소노시즌</t>
  </si>
  <si>
    <t>[317850]</t>
  </si>
  <si>
    <t>대모</t>
  </si>
  <si>
    <t>[290670]</t>
  </si>
  <si>
    <t>대보마그네틱</t>
  </si>
  <si>
    <t>[007680]</t>
  </si>
  <si>
    <t>대원</t>
  </si>
  <si>
    <t>[290380]</t>
  </si>
  <si>
    <t>대유</t>
  </si>
  <si>
    <t>[290120]</t>
  </si>
  <si>
    <t>대유에이피</t>
  </si>
  <si>
    <t>더블유에프엠</t>
  </si>
  <si>
    <t>[317330]</t>
  </si>
  <si>
    <t>덕산테코피아</t>
  </si>
  <si>
    <t>[263600]</t>
  </si>
  <si>
    <t>덕우전자</t>
  </si>
  <si>
    <t>[263800]</t>
  </si>
  <si>
    <t>데이타솔루션</t>
  </si>
  <si>
    <t>데일리블록체인</t>
  </si>
  <si>
    <t>[006620]</t>
  </si>
  <si>
    <t>동구바이오제약</t>
  </si>
  <si>
    <t>[282690]</t>
  </si>
  <si>
    <t>동아타이어</t>
  </si>
  <si>
    <t>[092780]</t>
  </si>
  <si>
    <t>동양피스톤</t>
  </si>
  <si>
    <t>동우팜투테이블</t>
  </si>
  <si>
    <t>[336370]</t>
  </si>
  <si>
    <t>두산솔루스</t>
  </si>
  <si>
    <t>[336260]</t>
  </si>
  <si>
    <t>두산퓨얼셀</t>
  </si>
  <si>
    <t>듀오백</t>
  </si>
  <si>
    <t>드림어스컴퍼니</t>
  </si>
  <si>
    <t>[192650]</t>
  </si>
  <si>
    <t>드림텍</t>
  </si>
  <si>
    <t>[217620]</t>
  </si>
  <si>
    <t>디딤</t>
  </si>
  <si>
    <t>[187870]</t>
  </si>
  <si>
    <t>디바이스이엔지</t>
  </si>
  <si>
    <t>디아이동일</t>
  </si>
  <si>
    <t>[110990]</t>
  </si>
  <si>
    <t>디아이티</t>
  </si>
  <si>
    <t>[263690]</t>
  </si>
  <si>
    <t>디알젬</t>
  </si>
  <si>
    <t>[263720]</t>
  </si>
  <si>
    <t>디앤씨미디어</t>
  </si>
  <si>
    <t>디에스티</t>
  </si>
  <si>
    <t>디오스텍</t>
  </si>
  <si>
    <t>디와이피엔에프</t>
  </si>
  <si>
    <t>[227100]</t>
  </si>
  <si>
    <t>디자인</t>
  </si>
  <si>
    <t>[197140]</t>
  </si>
  <si>
    <t>디지캡</t>
  </si>
  <si>
    <t>[263020]</t>
  </si>
  <si>
    <t>디케이앤디</t>
  </si>
  <si>
    <t>[290550]</t>
  </si>
  <si>
    <t>디케이티</t>
  </si>
  <si>
    <t>디티알오토모티브</t>
  </si>
  <si>
    <t>[317120]</t>
  </si>
  <si>
    <t>라닉스</t>
  </si>
  <si>
    <t>[300120]</t>
  </si>
  <si>
    <t>라온피플</t>
  </si>
  <si>
    <t>라이브파이낸셜</t>
  </si>
  <si>
    <t>라이트론</t>
  </si>
  <si>
    <t>[214260]</t>
  </si>
  <si>
    <t>라파스</t>
  </si>
  <si>
    <t>[217500]</t>
  </si>
  <si>
    <t>러셀</t>
  </si>
  <si>
    <t>[294140]</t>
  </si>
  <si>
    <t>레몬</t>
  </si>
  <si>
    <t>[228670]</t>
  </si>
  <si>
    <t>레이</t>
  </si>
  <si>
    <t>[281740]</t>
  </si>
  <si>
    <t>레이크머티리얼즈</t>
  </si>
  <si>
    <t>로보로보</t>
  </si>
  <si>
    <t>[108490]</t>
  </si>
  <si>
    <t>로보티즈</t>
  </si>
  <si>
    <t>[286940]</t>
  </si>
  <si>
    <t>롯데정보통신</t>
  </si>
  <si>
    <t>[280360]</t>
  </si>
  <si>
    <t>롯데지주</t>
  </si>
  <si>
    <t>[019570]</t>
  </si>
  <si>
    <t>리더스 기술투자</t>
  </si>
  <si>
    <t>[302550]</t>
  </si>
  <si>
    <t>리메드</t>
  </si>
  <si>
    <t>[277070]</t>
  </si>
  <si>
    <t>린드먼아시아</t>
  </si>
  <si>
    <t>[219420]</t>
  </si>
  <si>
    <t>링크제니시스</t>
  </si>
  <si>
    <t>[195500]</t>
  </si>
  <si>
    <t>마니커에프앤지</t>
  </si>
  <si>
    <t>[305090]</t>
  </si>
  <si>
    <t>마이크로디지탈</t>
  </si>
  <si>
    <t>[267980]</t>
  </si>
  <si>
    <t>매일홀딩스</t>
  </si>
  <si>
    <t>[100590]</t>
  </si>
  <si>
    <t>머큐리</t>
  </si>
  <si>
    <t>[235980]</t>
  </si>
  <si>
    <t>메드팩토</t>
  </si>
  <si>
    <t>메디앙스</t>
  </si>
  <si>
    <t>메디포럼제약</t>
  </si>
  <si>
    <t>[241770]</t>
  </si>
  <si>
    <t>메카로</t>
  </si>
  <si>
    <t>메타랩스</t>
  </si>
  <si>
    <t>[327260]</t>
  </si>
  <si>
    <t>메탈라이프</t>
  </si>
  <si>
    <t>[257370]</t>
  </si>
  <si>
    <t>명성티엔에스</t>
  </si>
  <si>
    <t>모다</t>
  </si>
  <si>
    <t>모베이스전자</t>
  </si>
  <si>
    <t>[118990]</t>
  </si>
  <si>
    <t>모트렉스</t>
  </si>
  <si>
    <t>[279600]</t>
  </si>
  <si>
    <t>미디어젠</t>
  </si>
  <si>
    <t>미래SCI</t>
  </si>
  <si>
    <t>미래생명자원</t>
  </si>
  <si>
    <t>[268280]</t>
  </si>
  <si>
    <t>미원홀딩스</t>
  </si>
  <si>
    <t>바른테크놀로지</t>
  </si>
  <si>
    <t>바이오빌</t>
  </si>
  <si>
    <t>[086820]</t>
  </si>
  <si>
    <t>바이오솔루션</t>
  </si>
  <si>
    <t>[267790]</t>
  </si>
  <si>
    <t>배럴</t>
  </si>
  <si>
    <t>버킷스튜디오</t>
  </si>
  <si>
    <t>베뉴지</t>
  </si>
  <si>
    <t>[299910]</t>
  </si>
  <si>
    <t>베스파</t>
  </si>
  <si>
    <t>[250000]</t>
  </si>
  <si>
    <t>보라티알</t>
  </si>
  <si>
    <t>[226340]</t>
  </si>
  <si>
    <t>본느</t>
  </si>
  <si>
    <t>[288330]</t>
  </si>
  <si>
    <t>브릿지바이오</t>
  </si>
  <si>
    <t>[251630]</t>
  </si>
  <si>
    <t>브이원텍</t>
  </si>
  <si>
    <t>브이티지엠피</t>
  </si>
  <si>
    <t>[263920]</t>
  </si>
  <si>
    <t>블러썸엠앤씨</t>
  </si>
  <si>
    <t>비덴트</t>
  </si>
  <si>
    <t>[148140]</t>
  </si>
  <si>
    <t>비디아이</t>
  </si>
  <si>
    <t>[138580]</t>
  </si>
  <si>
    <t>비즈니스온</t>
  </si>
  <si>
    <t>비케이탑스</t>
  </si>
  <si>
    <t>비티원</t>
  </si>
  <si>
    <t>[238200]</t>
  </si>
  <si>
    <t>비피도</t>
  </si>
  <si>
    <t>삼본전자</t>
  </si>
  <si>
    <t>[309930]</t>
  </si>
  <si>
    <t>삼성머스트스팩3호</t>
  </si>
  <si>
    <t>[207940]</t>
  </si>
  <si>
    <t>삼성바이오로직스</t>
  </si>
  <si>
    <t>[291230]</t>
  </si>
  <si>
    <t>삼성스팩2호</t>
  </si>
  <si>
    <t>[225190]</t>
  </si>
  <si>
    <t>삼양옵틱스</t>
  </si>
  <si>
    <t>[272550]</t>
  </si>
  <si>
    <t>삼양패키징</t>
  </si>
  <si>
    <t>삼표시멘트</t>
  </si>
  <si>
    <t>상상인</t>
  </si>
  <si>
    <t>상상인인더스트리</t>
  </si>
  <si>
    <t>[263810]</t>
  </si>
  <si>
    <t>상신전자</t>
  </si>
  <si>
    <t>상지카일룸</t>
  </si>
  <si>
    <t>[263540]</t>
  </si>
  <si>
    <t>샘코</t>
  </si>
  <si>
    <t>[294630]</t>
  </si>
  <si>
    <t>서남</t>
  </si>
  <si>
    <t>[092190]</t>
  </si>
  <si>
    <t>서울바이오시스</t>
  </si>
  <si>
    <t>[178320]</t>
  </si>
  <si>
    <t>서진시스템</t>
  </si>
  <si>
    <t>[171090]</t>
  </si>
  <si>
    <t>선익시스템</t>
  </si>
  <si>
    <t>[148150]</t>
  </si>
  <si>
    <t>세경하이테크</t>
  </si>
  <si>
    <t>[306200]</t>
  </si>
  <si>
    <t>세아제강지주</t>
  </si>
  <si>
    <t>[234100]</t>
  </si>
  <si>
    <t>세원</t>
  </si>
  <si>
    <t>[258830]</t>
  </si>
  <si>
    <t>세종메디칼</t>
  </si>
  <si>
    <t>[234340]</t>
  </si>
  <si>
    <t>세틀뱅크</t>
  </si>
  <si>
    <t>[252500]</t>
  </si>
  <si>
    <t>세화피앤씨</t>
  </si>
  <si>
    <t>[308170]</t>
  </si>
  <si>
    <t>센트랄모텍</t>
  </si>
  <si>
    <t>센트럴바이오</t>
  </si>
  <si>
    <t>[299660]</t>
  </si>
  <si>
    <t>셀리드</t>
  </si>
  <si>
    <t>[268600]</t>
  </si>
  <si>
    <t>셀리버리</t>
  </si>
  <si>
    <t>[091990]</t>
  </si>
  <si>
    <t>셀트리온헬스케어</t>
  </si>
  <si>
    <t>[258790]</t>
  </si>
  <si>
    <t>소프트캠프</t>
  </si>
  <si>
    <t>[253840]</t>
  </si>
  <si>
    <t>수젠텍</t>
  </si>
  <si>
    <t>슈펙스비앤피</t>
  </si>
  <si>
    <t>[317770]</t>
  </si>
  <si>
    <t>슈프리마아이디</t>
  </si>
  <si>
    <t>스카이문스테크놀로지</t>
  </si>
  <si>
    <t>스카이이앤엠</t>
  </si>
  <si>
    <t>스타모빌리티</t>
  </si>
  <si>
    <t>[253450]</t>
  </si>
  <si>
    <t>스튜디오드래곤</t>
  </si>
  <si>
    <t>시너지이노베이션</t>
  </si>
  <si>
    <t>시디즈</t>
  </si>
  <si>
    <t>[269620]</t>
  </si>
  <si>
    <t>시스웍</t>
  </si>
  <si>
    <t>신성이엔지</t>
  </si>
  <si>
    <t>신일전자</t>
  </si>
  <si>
    <t>[226330]</t>
  </si>
  <si>
    <t>신테카바이오</t>
  </si>
  <si>
    <t>[243840]</t>
  </si>
  <si>
    <t>신흥에스이씨</t>
  </si>
  <si>
    <t>[217330]</t>
  </si>
  <si>
    <t>싸이토젠</t>
  </si>
  <si>
    <t>쎌마테라퓨틱스</t>
  </si>
  <si>
    <t>[264660]</t>
  </si>
  <si>
    <t>씨앤지하이테크</t>
  </si>
  <si>
    <t>[297090]</t>
  </si>
  <si>
    <t>씨에스베어링</t>
  </si>
  <si>
    <t>[260930]</t>
  </si>
  <si>
    <t>씨티케이코스메틱스</t>
  </si>
  <si>
    <t>아난티</t>
  </si>
  <si>
    <t>[125210]</t>
  </si>
  <si>
    <t>아모그린텍</t>
  </si>
  <si>
    <t>[267850]</t>
  </si>
  <si>
    <t>아시아나IDT</t>
  </si>
  <si>
    <t>[227610]</t>
  </si>
  <si>
    <t>아우딘퓨쳐스</t>
  </si>
  <si>
    <t>[289010]</t>
  </si>
  <si>
    <t>아이스크림에듀</t>
  </si>
  <si>
    <t>아이에이네트웍스</t>
  </si>
  <si>
    <t>[307180]</t>
  </si>
  <si>
    <t>아이엘사이언스</t>
  </si>
  <si>
    <t>아이엠이연이</t>
  </si>
  <si>
    <t>[175250]</t>
  </si>
  <si>
    <t>아이큐어</t>
  </si>
  <si>
    <t>아이텍</t>
  </si>
  <si>
    <t>아이톡시</t>
  </si>
  <si>
    <t>[084850]</t>
  </si>
  <si>
    <t>아이티엠반도체</t>
  </si>
  <si>
    <t>[158430]</t>
  </si>
  <si>
    <t>아톤</t>
  </si>
  <si>
    <t>[297570]</t>
  </si>
  <si>
    <t>알로이스</t>
  </si>
  <si>
    <t>[260660]</t>
  </si>
  <si>
    <t>알리코제약</t>
  </si>
  <si>
    <t>[140670]</t>
  </si>
  <si>
    <t>알에스오토메이션</t>
  </si>
  <si>
    <t>[293780]</t>
  </si>
  <si>
    <t>압타바이오</t>
  </si>
  <si>
    <t>[018250]</t>
  </si>
  <si>
    <t>애경산업</t>
  </si>
  <si>
    <t>[310200]</t>
  </si>
  <si>
    <t>애니플러스</t>
  </si>
  <si>
    <t>[290740]</t>
  </si>
  <si>
    <t>액트로</t>
  </si>
  <si>
    <t>앤씨앤</t>
  </si>
  <si>
    <t>[174900]</t>
  </si>
  <si>
    <t>앱클론</t>
  </si>
  <si>
    <t>[255440]</t>
  </si>
  <si>
    <t>야스</t>
  </si>
  <si>
    <t>에스모</t>
  </si>
  <si>
    <t>에스모 머티리얼즈</t>
  </si>
  <si>
    <t>[275630]</t>
  </si>
  <si>
    <t>에스에스알</t>
  </si>
  <si>
    <t>에스와이</t>
  </si>
  <si>
    <t>[306040]</t>
  </si>
  <si>
    <t>에스제이그룹</t>
  </si>
  <si>
    <t>[234300]</t>
  </si>
  <si>
    <t>에스트래픽</t>
  </si>
  <si>
    <t>[288620]</t>
  </si>
  <si>
    <t>에스퓨얼셀</t>
  </si>
  <si>
    <t>[317830]</t>
  </si>
  <si>
    <t>에스피시스템스</t>
  </si>
  <si>
    <t>[298690]</t>
  </si>
  <si>
    <t>에어부산</t>
  </si>
  <si>
    <t>에이루트</t>
  </si>
  <si>
    <t>에이리츠</t>
  </si>
  <si>
    <t>[298380]</t>
  </si>
  <si>
    <t>에이비엘바이오</t>
  </si>
  <si>
    <t>에이비프로바이오</t>
  </si>
  <si>
    <t>[241840]</t>
  </si>
  <si>
    <t>에이스토리</t>
  </si>
  <si>
    <t>에이아이비트</t>
  </si>
  <si>
    <t>에이앤티앤</t>
  </si>
  <si>
    <t>[312610]</t>
  </si>
  <si>
    <t>에이에프더블류</t>
  </si>
  <si>
    <t>에이팩트</t>
  </si>
  <si>
    <t>에이프런티어</t>
  </si>
  <si>
    <t>에이프로젠 KIC</t>
  </si>
  <si>
    <t>에이프로젠제약</t>
  </si>
  <si>
    <t>[089970]</t>
  </si>
  <si>
    <t>에이피티씨</t>
  </si>
  <si>
    <t>에치에프알</t>
  </si>
  <si>
    <t>[064510]</t>
  </si>
  <si>
    <t>에코마이스터</t>
  </si>
  <si>
    <t>[128540]</t>
  </si>
  <si>
    <t>에코캡</t>
  </si>
  <si>
    <t>[247540]</t>
  </si>
  <si>
    <t>에코프로비엠</t>
  </si>
  <si>
    <t>에프앤리퍼블릭</t>
  </si>
  <si>
    <t>엑스큐어</t>
  </si>
  <si>
    <t>[317870]</t>
  </si>
  <si>
    <t>엔바이오니아</t>
  </si>
  <si>
    <t>엔시트론</t>
  </si>
  <si>
    <t>엔에이치엔</t>
  </si>
  <si>
    <t>[183490]</t>
  </si>
  <si>
    <t>엔지켐생명과학</t>
  </si>
  <si>
    <t>엔케이맥스</t>
  </si>
  <si>
    <t>엔케이물산</t>
  </si>
  <si>
    <t>[227950]</t>
  </si>
  <si>
    <t>엔투텍</t>
  </si>
  <si>
    <t>[198080]</t>
  </si>
  <si>
    <t>엔피디</t>
  </si>
  <si>
    <t>[290650]</t>
  </si>
  <si>
    <t>엘앤씨바이오</t>
  </si>
  <si>
    <t>엘에스일렉트릭</t>
  </si>
  <si>
    <t>[169330]</t>
  </si>
  <si>
    <t>엠브레인</t>
  </si>
  <si>
    <t>[179290]</t>
  </si>
  <si>
    <t>엠아이텍</t>
  </si>
  <si>
    <t>[259630]</t>
  </si>
  <si>
    <t>엠플러스</t>
  </si>
  <si>
    <t>영진약품</t>
  </si>
  <si>
    <t>[265560]</t>
  </si>
  <si>
    <t>영화테크</t>
  </si>
  <si>
    <t>영흥</t>
  </si>
  <si>
    <t>[250930]</t>
  </si>
  <si>
    <t>예선테크</t>
  </si>
  <si>
    <t>예스코홀딩스</t>
  </si>
  <si>
    <t>[271560]</t>
  </si>
  <si>
    <t>오리온홀딩스</t>
  </si>
  <si>
    <t>오성첨단소재</t>
  </si>
  <si>
    <t>[226400]</t>
  </si>
  <si>
    <t>오스테오닉</t>
  </si>
  <si>
    <t>[173130]</t>
  </si>
  <si>
    <t>오파스넷</t>
  </si>
  <si>
    <t>[244460]</t>
  </si>
  <si>
    <t>올리패스</t>
  </si>
  <si>
    <t>[226950]</t>
  </si>
  <si>
    <t>올릭스</t>
  </si>
  <si>
    <t>[153710]</t>
  </si>
  <si>
    <t>옵티팜</t>
  </si>
  <si>
    <t>[232140]</t>
  </si>
  <si>
    <t>와이아이케이</t>
  </si>
  <si>
    <t>[251370]</t>
  </si>
  <si>
    <t>와이엠티</t>
  </si>
  <si>
    <t>우리바이오</t>
  </si>
  <si>
    <t>[103840]</t>
  </si>
  <si>
    <t>우양</t>
  </si>
  <si>
    <t>[215380]</t>
  </si>
  <si>
    <t>우정바이오</t>
  </si>
  <si>
    <t>[010400]</t>
  </si>
  <si>
    <t>우진아이엔에스</t>
  </si>
  <si>
    <t>웰바이오텍</t>
  </si>
  <si>
    <t>[053580]</t>
  </si>
  <si>
    <t>웹케시</t>
  </si>
  <si>
    <t>위니아딤채</t>
  </si>
  <si>
    <t>[330350]</t>
  </si>
  <si>
    <t>위더스제약</t>
  </si>
  <si>
    <t>[065370]</t>
  </si>
  <si>
    <t>위세아이텍</t>
  </si>
  <si>
    <t>[299900]</t>
  </si>
  <si>
    <t>위지윅스튜디오</t>
  </si>
  <si>
    <t>[313760]</t>
  </si>
  <si>
    <t>윌링스</t>
  </si>
  <si>
    <t>유니온머티리얼</t>
  </si>
  <si>
    <t>[264450]</t>
  </si>
  <si>
    <t>유비쿼스</t>
  </si>
  <si>
    <t>[263770]</t>
  </si>
  <si>
    <t>유에스티</t>
  </si>
  <si>
    <t>[179900]</t>
  </si>
  <si>
    <t>유티아이</t>
  </si>
  <si>
    <t>[263050]</t>
  </si>
  <si>
    <t>유틸렉스</t>
  </si>
  <si>
    <t>율호</t>
  </si>
  <si>
    <t>이건홀딩스</t>
  </si>
  <si>
    <t>이글벳</t>
  </si>
  <si>
    <t>[302430]</t>
  </si>
  <si>
    <t>이노메트리</t>
  </si>
  <si>
    <t>이노와이즈</t>
  </si>
  <si>
    <t>[215790]</t>
  </si>
  <si>
    <t>이노인스트루먼트</t>
  </si>
  <si>
    <t>[246960]</t>
  </si>
  <si>
    <t>이노테라피</t>
  </si>
  <si>
    <t>[272290]</t>
  </si>
  <si>
    <t>이녹스첨단소재</t>
  </si>
  <si>
    <t>[258610]</t>
  </si>
  <si>
    <t>이더블유케이</t>
  </si>
  <si>
    <t>이디티</t>
  </si>
  <si>
    <t>[264850]</t>
  </si>
  <si>
    <t>이랜시스</t>
  </si>
  <si>
    <t>[226360]</t>
  </si>
  <si>
    <t>이엑스티</t>
  </si>
  <si>
    <t>이엔플러스</t>
  </si>
  <si>
    <t>[063760]</t>
  </si>
  <si>
    <t>이엘피</t>
  </si>
  <si>
    <t>이엠앤아이</t>
  </si>
  <si>
    <t>[181340]</t>
  </si>
  <si>
    <t>이즈미디어</t>
  </si>
  <si>
    <t>이지웰</t>
  </si>
  <si>
    <t>[099750]</t>
  </si>
  <si>
    <t>이지케어텍</t>
  </si>
  <si>
    <t>이큐셀</t>
  </si>
  <si>
    <t>[277410]</t>
  </si>
  <si>
    <t>인산가</t>
  </si>
  <si>
    <t>잇츠한불</t>
  </si>
  <si>
    <t>[254120]</t>
  </si>
  <si>
    <t>자비스</t>
  </si>
  <si>
    <t>자안</t>
  </si>
  <si>
    <t>[317400]</t>
  </si>
  <si>
    <t>자이에스앤디</t>
  </si>
  <si>
    <t>[110020]</t>
  </si>
  <si>
    <t>전진바이오팜</t>
  </si>
  <si>
    <t>제넨바이오</t>
  </si>
  <si>
    <t>[122310]</t>
  </si>
  <si>
    <t>제노레이</t>
  </si>
  <si>
    <t>[204270]</t>
  </si>
  <si>
    <t>제이앤티씨</t>
  </si>
  <si>
    <t>[322510]</t>
  </si>
  <si>
    <t>제이엘케이</t>
  </si>
  <si>
    <t>제이준코스메틱</t>
  </si>
  <si>
    <t>[271980]</t>
  </si>
  <si>
    <t>제일파마홀딩스</t>
  </si>
  <si>
    <t>[216080]</t>
  </si>
  <si>
    <t>제테마</t>
  </si>
  <si>
    <t>젬백스링크</t>
  </si>
  <si>
    <t>젬백스지오</t>
  </si>
  <si>
    <t>줌인터넷</t>
  </si>
  <si>
    <t>[228760]</t>
  </si>
  <si>
    <t>지노믹트리</t>
  </si>
  <si>
    <t>[013890]</t>
  </si>
  <si>
    <t>지누스</t>
  </si>
  <si>
    <t>지니뮤직</t>
  </si>
  <si>
    <t>[263860]</t>
  </si>
  <si>
    <t>지니언스</t>
  </si>
  <si>
    <t>[303030]</t>
  </si>
  <si>
    <t>지니틱스</t>
  </si>
  <si>
    <t>[270520]</t>
  </si>
  <si>
    <t>지엔원에너지</t>
  </si>
  <si>
    <t>지와이커머스</t>
  </si>
  <si>
    <t>[219750]</t>
  </si>
  <si>
    <t>지티지웰니스</t>
  </si>
  <si>
    <t>[272450]</t>
  </si>
  <si>
    <t>진에어</t>
  </si>
  <si>
    <t>참좋은여행</t>
  </si>
  <si>
    <t>[311690]</t>
  </si>
  <si>
    <t>천랩</t>
  </si>
  <si>
    <t>[278280]</t>
  </si>
  <si>
    <t>천보</t>
  </si>
  <si>
    <t>[066360]</t>
  </si>
  <si>
    <t>체리부로</t>
  </si>
  <si>
    <t>[042000]</t>
  </si>
  <si>
    <t>카페24</t>
  </si>
  <si>
    <t>[317530]</t>
  </si>
  <si>
    <t>캐리소프트</t>
  </si>
  <si>
    <t>캔서롭</t>
  </si>
  <si>
    <t>컨버즈</t>
  </si>
  <si>
    <t>[263700]</t>
  </si>
  <si>
    <t>케어랩스</t>
  </si>
  <si>
    <t>케이비아이동국실업</t>
  </si>
  <si>
    <t>케이씨</t>
  </si>
  <si>
    <t>[344820]</t>
  </si>
  <si>
    <t>케이씨씨글라스</t>
  </si>
  <si>
    <t>[281820]</t>
  </si>
  <si>
    <t>케이알피앤이</t>
  </si>
  <si>
    <t>[272110]</t>
  </si>
  <si>
    <t>케이엔제이</t>
  </si>
  <si>
    <t>[225430]</t>
  </si>
  <si>
    <t>케이엠제약</t>
  </si>
  <si>
    <t>[256940]</t>
  </si>
  <si>
    <t>케이피에스</t>
  </si>
  <si>
    <t>케이피티유</t>
  </si>
  <si>
    <t>[274090]</t>
  </si>
  <si>
    <t>켄코아에어로스페이스</t>
  </si>
  <si>
    <t>[217600]</t>
  </si>
  <si>
    <t>켐온</t>
  </si>
  <si>
    <t>켐트로스</t>
  </si>
  <si>
    <t>코너스톤네트웍스</t>
  </si>
  <si>
    <t>코드네이처</t>
  </si>
  <si>
    <t>[290510]</t>
  </si>
  <si>
    <t>코리아센터</t>
  </si>
  <si>
    <t>코세스</t>
  </si>
  <si>
    <t>코스나인</t>
  </si>
  <si>
    <t>코스맥스엔비티</t>
  </si>
  <si>
    <t>코썬바이오</t>
  </si>
  <si>
    <t>코아시아</t>
  </si>
  <si>
    <t>[950160]</t>
  </si>
  <si>
    <t>코오롱티슈진</t>
  </si>
  <si>
    <t>[282880]</t>
  </si>
  <si>
    <t>코윈테크</t>
  </si>
  <si>
    <t>쿠쿠홀딩스</t>
  </si>
  <si>
    <t>[284740]</t>
  </si>
  <si>
    <t>쿠쿠홈시스</t>
  </si>
  <si>
    <t>큐로</t>
  </si>
  <si>
    <t>큐브앤컴퍼니</t>
  </si>
  <si>
    <t>[264900]</t>
  </si>
  <si>
    <t>크라운해태홀딩스</t>
  </si>
  <si>
    <t>[110790]</t>
  </si>
  <si>
    <t>크리스에프앤씨</t>
  </si>
  <si>
    <t>[214150]</t>
  </si>
  <si>
    <t>클래시스</t>
  </si>
  <si>
    <t>키네마스터</t>
  </si>
  <si>
    <t>키다리스튜디오</t>
  </si>
  <si>
    <t>태경비케이</t>
  </si>
  <si>
    <t>태경케미컬</t>
  </si>
  <si>
    <t>[124560]</t>
  </si>
  <si>
    <t>태웅로직스</t>
  </si>
  <si>
    <t>[055490]</t>
  </si>
  <si>
    <t>테이팩스</t>
  </si>
  <si>
    <t>텔콘RF제약</t>
  </si>
  <si>
    <t>[215480]</t>
  </si>
  <si>
    <t>토박스코리아</t>
  </si>
  <si>
    <t>[322180]</t>
  </si>
  <si>
    <t>티라유텍</t>
  </si>
  <si>
    <t>[117730]</t>
  </si>
  <si>
    <t>티로보틱스</t>
  </si>
  <si>
    <t>[246710]</t>
  </si>
  <si>
    <t>티앤알바이오팹</t>
  </si>
  <si>
    <t>[321550]</t>
  </si>
  <si>
    <t>티움바이오</t>
  </si>
  <si>
    <t>[091810]</t>
  </si>
  <si>
    <t>티웨이항공</t>
  </si>
  <si>
    <t>[208340]</t>
  </si>
  <si>
    <t>파멥신</t>
  </si>
  <si>
    <t>파수</t>
  </si>
  <si>
    <t>[037030]</t>
  </si>
  <si>
    <t>파워넷</t>
  </si>
  <si>
    <t>파커스</t>
  </si>
  <si>
    <t>[318010]</t>
  </si>
  <si>
    <t>팜스빌</t>
  </si>
  <si>
    <t>[225590]</t>
  </si>
  <si>
    <t>패션플랫폼</t>
  </si>
  <si>
    <t>[263750]</t>
  </si>
  <si>
    <t>펄어비스</t>
  </si>
  <si>
    <t>[251970]</t>
  </si>
  <si>
    <t>펌텍코리아</t>
  </si>
  <si>
    <t>포스코인터내셔널</t>
  </si>
  <si>
    <t>포스코케미칼</t>
  </si>
  <si>
    <t>[256630]</t>
  </si>
  <si>
    <t>포인트엔지니어링</t>
  </si>
  <si>
    <t>폴루스바이오팜</t>
  </si>
  <si>
    <t>[290720]</t>
  </si>
  <si>
    <t>푸드나무</t>
  </si>
  <si>
    <t>퓨전</t>
  </si>
  <si>
    <t>[237820]</t>
  </si>
  <si>
    <t>플레이디</t>
  </si>
  <si>
    <t>[300080]</t>
  </si>
  <si>
    <t>플리토</t>
  </si>
  <si>
    <t>피앤텔</t>
  </si>
  <si>
    <t>[319660]</t>
  </si>
  <si>
    <t>피에스케이홀딩스</t>
  </si>
  <si>
    <t>[062970]</t>
  </si>
  <si>
    <t>피피아이</t>
  </si>
  <si>
    <t>필로시스헬스케어</t>
  </si>
  <si>
    <t>[161580]</t>
  </si>
  <si>
    <t>필옵틱스</t>
  </si>
  <si>
    <t>[284620]</t>
  </si>
  <si>
    <t>하나금융11호스팩</t>
  </si>
  <si>
    <t>[320000]</t>
  </si>
  <si>
    <t>하나금융13호스팩</t>
  </si>
  <si>
    <t>[332710]</t>
  </si>
  <si>
    <t>하나금융14호스팩</t>
  </si>
  <si>
    <t>[341160]</t>
  </si>
  <si>
    <t>하나금융15호스팩</t>
  </si>
  <si>
    <t>[261200]</t>
  </si>
  <si>
    <t>하나금융9호스팩</t>
  </si>
  <si>
    <t>[307160]</t>
  </si>
  <si>
    <t>하나머스트제6호스팩</t>
  </si>
  <si>
    <t>[166090]</t>
  </si>
  <si>
    <t>하나머티리얼즈</t>
  </si>
  <si>
    <t>[293480]</t>
  </si>
  <si>
    <t>하나제약</t>
  </si>
  <si>
    <t>[003380]</t>
  </si>
  <si>
    <t>하림지주</t>
  </si>
  <si>
    <t>[318000]</t>
  </si>
  <si>
    <t>한국바이오젠</t>
  </si>
  <si>
    <t>[256840]</t>
  </si>
  <si>
    <t>한국비엔씨</t>
  </si>
  <si>
    <t>한국아트라스비엑스</t>
  </si>
  <si>
    <t>[080720]</t>
  </si>
  <si>
    <t>한국유니온제약</t>
  </si>
  <si>
    <t>한국조선해양</t>
  </si>
  <si>
    <t>한국코퍼레이션</t>
  </si>
  <si>
    <t>한국타이어앤테크놀로지</t>
  </si>
  <si>
    <t>한국테크놀로지그룹</t>
  </si>
  <si>
    <t>[256150]</t>
  </si>
  <si>
    <t>한독크린텍</t>
  </si>
  <si>
    <t>한류AI센터</t>
  </si>
  <si>
    <t>한류타임즈</t>
  </si>
  <si>
    <t>한세엠케이</t>
  </si>
  <si>
    <t>[226440]</t>
  </si>
  <si>
    <t>한송네오텍</t>
  </si>
  <si>
    <t>[300720]</t>
  </si>
  <si>
    <t>한일현대시멘트</t>
  </si>
  <si>
    <t>한일홀딩스</t>
  </si>
  <si>
    <t>한컴MDS</t>
  </si>
  <si>
    <t>한컴위드</t>
  </si>
  <si>
    <t>한화솔루션</t>
  </si>
  <si>
    <t>[272210]</t>
  </si>
  <si>
    <t>한화시스템</t>
  </si>
  <si>
    <t>한화에어로스페이스</t>
  </si>
  <si>
    <t>행남사</t>
  </si>
  <si>
    <t>헬릭스미스</t>
  </si>
  <si>
    <t>[267270]</t>
  </si>
  <si>
    <t>현대건설기계</t>
  </si>
  <si>
    <t>현대바이오</t>
  </si>
  <si>
    <t>[016790]</t>
  </si>
  <si>
    <t>현대사료</t>
  </si>
  <si>
    <t>[322000]</t>
  </si>
  <si>
    <t>현대에너지솔루션</t>
  </si>
  <si>
    <t>[307950]</t>
  </si>
  <si>
    <t>현대오토에버</t>
  </si>
  <si>
    <t>[267260]</t>
  </si>
  <si>
    <t>현대일렉트릭</t>
  </si>
  <si>
    <t>[267250]</t>
  </si>
  <si>
    <t>현대중공업지주</t>
  </si>
  <si>
    <t>현대코퍼레이션홀딩스</t>
  </si>
  <si>
    <t>화성밸브</t>
  </si>
  <si>
    <t>화이브라더스코리아</t>
  </si>
  <si>
    <t>[298040]</t>
  </si>
  <si>
    <t>효성중공업</t>
  </si>
  <si>
    <t>[298050]</t>
  </si>
  <si>
    <t>효성첨단소재</t>
  </si>
  <si>
    <t>[298020]</t>
  </si>
  <si>
    <t>효성티앤씨</t>
  </si>
  <si>
    <t>[298000]</t>
  </si>
  <si>
    <t>효성화학</t>
  </si>
  <si>
    <t>휠라홀딩스</t>
  </si>
  <si>
    <t>[290270]</t>
  </si>
  <si>
    <t>휴네시온</t>
  </si>
  <si>
    <t>휴림로봇</t>
  </si>
  <si>
    <t>[205470]</t>
  </si>
  <si>
    <t>휴마시스</t>
  </si>
  <si>
    <t>[238490]</t>
  </si>
  <si>
    <t>힘스</t>
  </si>
  <si>
    <t>[900290]</t>
  </si>
  <si>
    <t>GRT</t>
  </si>
  <si>
    <t>SBI핀테크솔루션즈</t>
  </si>
  <si>
    <t>엘브이엠씨</t>
  </si>
  <si>
    <t>[900340]</t>
  </si>
  <si>
    <t>윙입푸드</t>
  </si>
  <si>
    <t>[900310]</t>
  </si>
  <si>
    <t>컬러레이</t>
  </si>
  <si>
    <t>[900270]</t>
  </si>
  <si>
    <t>헝셩그룹</t>
  </si>
  <si>
    <t>[000140]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</si>
</sst>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0.0%"/>
  </numFmts>
  <fonts count="25">
    <font>
      <sz val="11"/>
      <color indexed="8"/>
      <name val="맑은 고딕"/>
      <family val="2"/>
      <scheme val="minor"/>
    </font>
    <font>
      <b/>
      <sz val="12"/>
      <name val="굴림"/>
      <family val="3"/>
      <charset val="129"/>
    </font>
    <font>
      <b/>
      <sz val="10"/>
      <name val="굴림"/>
      <family val="3"/>
      <charset val="129"/>
    </font>
    <font>
      <sz val="10"/>
      <name val="굴림"/>
      <family val="3"/>
      <charset val="129"/>
    </font>
    <font>
      <sz val="10"/>
      <name val="굴림"/>
      <family val="3"/>
      <charset val="129"/>
    </font>
    <font>
      <b/>
      <sz val="10"/>
      <color indexed="63"/>
      <name val="굴림"/>
      <family val="3"/>
      <charset val="129"/>
    </font>
    <font>
      <b/>
      <sz val="10"/>
      <color indexed="63"/>
      <name val="굴림"/>
      <family val="3"/>
      <charset val="129"/>
    </font>
    <font>
      <b/>
      <sz val="10"/>
      <color indexed="9"/>
      <name val="굴림"/>
      <family val="3"/>
      <charset val="129"/>
    </font>
    <font>
      <b/>
      <sz val="10"/>
      <color indexed="9"/>
      <name val="굴림"/>
      <family val="3"/>
      <charset val="129"/>
    </font>
    <font>
      <sz val="10"/>
      <name val="굴림"/>
      <family val="3"/>
      <charset val="129"/>
    </font>
    <font>
      <sz val="10"/>
      <name val="굴림"/>
      <family val="3"/>
      <charset val="129"/>
    </font>
    <font>
      <sz val="11"/>
      <color indexed="8"/>
      <name val="맑은 고딕"/>
      <family val="2"/>
      <scheme val="minor"/>
    </font>
    <font>
      <sz val="8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sz val="11"/>
      <color indexed="8"/>
      <name val="맑은 고딕"/>
      <family val="3"/>
      <charset val="129"/>
      <scheme val="major"/>
    </font>
    <font>
      <sz val="12"/>
      <name val="맑은 고딕"/>
      <family val="3"/>
      <charset val="129"/>
      <scheme val="major"/>
    </font>
    <font>
      <sz val="11"/>
      <color theme="0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4"/>
      <color theme="0"/>
      <name val="맑은 고딕"/>
      <family val="2"/>
      <scheme val="minor"/>
    </font>
    <font>
      <b/>
      <sz val="14"/>
      <color theme="0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ajor"/>
    </font>
    <font>
      <b/>
      <sz val="14"/>
      <color rgb="FF000080"/>
      <name val="맑은 고딕"/>
      <family val="3"/>
      <charset val="129"/>
    </font>
    <font>
      <b/>
      <sz val="14"/>
      <color rgb="FF800000"/>
      <name val="맑은 고딕"/>
      <family val="3"/>
      <charset val="129"/>
    </font>
    <font>
      <b/>
      <sz val="10"/>
      <color indexed="9"/>
      <name val="맑은고딕"/>
      <family val="3"/>
      <charset val="129"/>
    </font>
    <font>
      <sz val="10"/>
      <name val="맑은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5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6337778862885"/>
        <bgColor indexed="64"/>
      </patternFill>
    </fill>
  </fills>
  <borders count="1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 wrapText="1"/>
    </xf>
    <xf numFmtId="3" fontId="9" fillId="3" borderId="1" xfId="0" applyNumberFormat="1" applyFont="1" applyFill="1" applyBorder="1" applyAlignment="1">
      <alignment horizontal="center" vertical="center"/>
    </xf>
    <xf numFmtId="3" fontId="10" fillId="3" borderId="1" xfId="0" applyNumberFormat="1" applyFont="1" applyFill="1" applyBorder="1" applyAlignment="1">
      <alignment horizontal="right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0" fillId="5" borderId="2" xfId="0" applyFill="1" applyBorder="1">
      <alignment vertical="center"/>
    </xf>
    <xf numFmtId="0" fontId="0" fillId="5" borderId="2" xfId="0" applyFill="1" applyBorder="1" applyAlignment="1">
      <alignment horizontal="center" vertical="center"/>
    </xf>
    <xf numFmtId="41" fontId="3" fillId="0" borderId="1" xfId="1" applyFont="1" applyBorder="1" applyAlignment="1">
      <alignment horizontal="left" vertical="center"/>
    </xf>
    <xf numFmtId="176" fontId="0" fillId="5" borderId="2" xfId="2" applyNumberFormat="1" applyFont="1" applyFill="1" applyBorder="1" applyAlignment="1">
      <alignment horizontal="center" vertical="center"/>
    </xf>
    <xf numFmtId="10" fontId="0" fillId="5" borderId="2" xfId="2" applyNumberFormat="1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5" fillId="3" borderId="3" xfId="0" applyFont="1" applyFill="1" applyBorder="1" applyAlignment="1">
      <alignment horizontal="left" vertical="center"/>
    </xf>
    <xf numFmtId="0" fontId="0" fillId="0" borderId="0" xfId="0">
      <alignment vertical="center"/>
    </xf>
    <xf numFmtId="0" fontId="7" fillId="4" borderId="8" xfId="0" applyFont="1" applyFill="1" applyBorder="1" applyAlignment="1">
      <alignment vertical="center"/>
    </xf>
    <xf numFmtId="0" fontId="7" fillId="4" borderId="6" xfId="0" applyFont="1" applyFill="1" applyBorder="1" applyAlignme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5" borderId="2" xfId="0" applyFill="1" applyBorder="1" applyAlignment="1">
      <alignment horizontal="left" vertical="center"/>
    </xf>
    <xf numFmtId="0" fontId="0" fillId="5" borderId="7" xfId="0" applyFill="1" applyBorder="1" applyAlignment="1">
      <alignment horizontal="left" vertical="center"/>
    </xf>
    <xf numFmtId="176" fontId="0" fillId="5" borderId="2" xfId="2" applyNumberFormat="1" applyFont="1" applyFill="1" applyBorder="1" applyAlignment="1">
      <alignment horizontal="right" vertical="center"/>
    </xf>
    <xf numFmtId="10" fontId="0" fillId="5" borderId="2" xfId="2" applyNumberFormat="1" applyFont="1" applyFill="1" applyBorder="1" applyAlignment="1">
      <alignment horizontal="right" vertical="center"/>
    </xf>
    <xf numFmtId="0" fontId="7" fillId="4" borderId="10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176" fontId="0" fillId="5" borderId="2" xfId="2" applyNumberFormat="1" applyFont="1" applyFill="1" applyBorder="1">
      <alignment vertical="center"/>
    </xf>
    <xf numFmtId="176" fontId="0" fillId="5" borderId="11" xfId="2" applyNumberFormat="1" applyFont="1" applyFill="1" applyBorder="1">
      <alignment vertical="center"/>
    </xf>
    <xf numFmtId="0" fontId="0" fillId="5" borderId="11" xfId="0" applyFill="1" applyBorder="1">
      <alignment vertical="center"/>
    </xf>
    <xf numFmtId="41" fontId="0" fillId="5" borderId="2" xfId="1" applyFont="1" applyFill="1" applyBorder="1">
      <alignment vertical="center"/>
    </xf>
    <xf numFmtId="0" fontId="0" fillId="0" borderId="0" xfId="0" applyFill="1" applyBorder="1">
      <alignment vertical="center"/>
    </xf>
    <xf numFmtId="0" fontId="13" fillId="0" borderId="0" xfId="3" applyAlignment="1">
      <alignment horizontal="left" vertical="center"/>
    </xf>
    <xf numFmtId="0" fontId="16" fillId="0" borderId="0" xfId="0" applyFont="1">
      <alignment vertical="center"/>
    </xf>
    <xf numFmtId="0" fontId="5" fillId="2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3" fontId="3" fillId="3" borderId="1" xfId="0" applyNumberFormat="1" applyFont="1" applyFill="1" applyBorder="1" applyAlignment="1">
      <alignment horizontal="center" vertical="center"/>
    </xf>
    <xf numFmtId="0" fontId="0" fillId="6" borderId="0" xfId="0" applyFill="1">
      <alignment vertical="center"/>
    </xf>
    <xf numFmtId="0" fontId="0" fillId="8" borderId="13" xfId="0" applyFill="1" applyBorder="1">
      <alignment vertical="center"/>
    </xf>
    <xf numFmtId="0" fontId="18" fillId="7" borderId="12" xfId="0" applyFont="1" applyFill="1" applyBorder="1" applyAlignment="1">
      <alignment horizontal="center" vertical="center"/>
    </xf>
    <xf numFmtId="0" fontId="19" fillId="7" borderId="12" xfId="0" applyFont="1" applyFill="1" applyBorder="1" applyAlignment="1">
      <alignment horizontal="center" vertical="center"/>
    </xf>
    <xf numFmtId="0" fontId="0" fillId="8" borderId="13" xfId="0" applyFill="1" applyBorder="1" applyAlignment="1">
      <alignment horizontal="left" vertical="center"/>
    </xf>
    <xf numFmtId="0" fontId="14" fillId="6" borderId="0" xfId="0" applyFont="1" applyFill="1">
      <alignment vertical="center"/>
    </xf>
    <xf numFmtId="0" fontId="0" fillId="6" borderId="0" xfId="0" applyFill="1" applyAlignment="1">
      <alignment horizontal="center" vertical="center"/>
    </xf>
    <xf numFmtId="0" fontId="17" fillId="6" borderId="0" xfId="0" applyFont="1" applyFill="1">
      <alignment vertical="center"/>
    </xf>
    <xf numFmtId="0" fontId="15" fillId="6" borderId="0" xfId="0" applyFont="1" applyFill="1" applyAlignment="1">
      <alignment horizontal="left" vertical="center"/>
    </xf>
    <xf numFmtId="0" fontId="19" fillId="9" borderId="2" xfId="0" applyFont="1" applyFill="1" applyBorder="1">
      <alignment vertical="center"/>
    </xf>
    <xf numFmtId="0" fontId="20" fillId="9" borderId="0" xfId="0" applyFont="1" applyFill="1">
      <alignment vertical="center"/>
    </xf>
    <xf numFmtId="0" fontId="19" fillId="9" borderId="0" xfId="0" applyFont="1" applyFill="1" applyAlignment="1">
      <alignment horizontal="center" vertical="center"/>
    </xf>
    <xf numFmtId="0" fontId="15" fillId="10" borderId="0" xfId="0" applyFont="1" applyFill="1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13" fillId="6" borderId="0" xfId="3" applyFill="1" applyAlignment="1">
      <alignment horizontal="center" vertical="center"/>
    </xf>
    <xf numFmtId="0" fontId="13" fillId="10" borderId="0" xfId="3" applyFill="1" applyAlignment="1">
      <alignment horizontal="center" vertical="center"/>
    </xf>
    <xf numFmtId="0" fontId="13" fillId="10" borderId="0" xfId="3" quotePrefix="1" applyFill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left" vertical="center"/>
    </xf>
    <xf numFmtId="0" fontId="0" fillId="8" borderId="7" xfId="0" applyFill="1" applyBorder="1">
      <alignment vertical="center"/>
    </xf>
    <xf numFmtId="0" fontId="0" fillId="8" borderId="7" xfId="0" applyFill="1" applyBorder="1" applyAlignment="1">
      <alignment horizontal="left" vertical="center"/>
    </xf>
    <xf numFmtId="176" fontId="0" fillId="0" borderId="0" xfId="2" applyNumberFormat="1" applyFont="1">
      <alignment vertical="center"/>
    </xf>
    <xf numFmtId="0" fontId="13" fillId="6" borderId="0" xfId="3" applyFill="1">
      <alignment vertical="center"/>
    </xf>
    <xf numFmtId="0" fontId="7" fillId="4" borderId="9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9</xdr:col>
      <xdr:colOff>315390</xdr:colOff>
      <xdr:row>29</xdr:row>
      <xdr:rowOff>159380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09550"/>
          <a:ext cx="5801790" cy="60363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666750</xdr:colOff>
      <xdr:row>1</xdr:row>
      <xdr:rowOff>190500</xdr:rowOff>
    </xdr:from>
    <xdr:to>
      <xdr:col>6</xdr:col>
      <xdr:colOff>266700</xdr:colOff>
      <xdr:row>5</xdr:row>
      <xdr:rowOff>66676</xdr:rowOff>
    </xdr:to>
    <xdr:sp macro="" textlink="">
      <xdr:nvSpPr>
        <xdr:cNvPr id="6" name="직사각형 5"/>
        <xdr:cNvSpPr/>
      </xdr:nvSpPr>
      <xdr:spPr>
        <a:xfrm>
          <a:off x="7267575" y="438150"/>
          <a:ext cx="1695450" cy="866776"/>
        </a:xfrm>
        <a:prstGeom prst="rect">
          <a:avLst/>
        </a:prstGeom>
        <a:solidFill>
          <a:schemeClr val="tx2"/>
        </a:solidFill>
        <a:effectLst>
          <a:glow rad="1016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 prstMaterial="clear"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657225</xdr:colOff>
      <xdr:row>5</xdr:row>
      <xdr:rowOff>180975</xdr:rowOff>
    </xdr:from>
    <xdr:to>
      <xdr:col>6</xdr:col>
      <xdr:colOff>257175</xdr:colOff>
      <xdr:row>9</xdr:row>
      <xdr:rowOff>57151</xdr:rowOff>
    </xdr:to>
    <xdr:sp macro="" textlink="">
      <xdr:nvSpPr>
        <xdr:cNvPr id="5" name="직사각형 4"/>
        <xdr:cNvSpPr/>
      </xdr:nvSpPr>
      <xdr:spPr>
        <a:xfrm>
          <a:off x="7258050" y="1419225"/>
          <a:ext cx="1695450" cy="866776"/>
        </a:xfrm>
        <a:prstGeom prst="rect">
          <a:avLst/>
        </a:prstGeom>
        <a:solidFill>
          <a:schemeClr val="tx2"/>
        </a:solidFill>
        <a:effectLst>
          <a:glow rad="1016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 prstMaterial="clear"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2</xdr:row>
          <xdr:rowOff>9525</xdr:rowOff>
        </xdr:from>
        <xdr:to>
          <xdr:col>6</xdr:col>
          <xdr:colOff>190500</xdr:colOff>
          <xdr:row>5</xdr:row>
          <xdr:rowOff>9525</xdr:rowOff>
        </xdr:to>
        <xdr:sp macro="" textlink="">
          <xdr:nvSpPr>
            <xdr:cNvPr id="136193" name="Button 1" hidden="1">
              <a:extLst>
                <a:ext uri="{63B3BB69-23CF-44E3-9099-C40C66FF867C}">
                  <a14:compatExt spid="_x0000_s136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80"/>
                  </a:solidFill>
                  <a:latin typeface="맑은 고딕"/>
                  <a:ea typeface="맑은 고딕"/>
                </a:rPr>
                <a:t>Text 폴더 선택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9525</xdr:rowOff>
        </xdr:from>
        <xdr:to>
          <xdr:col>6</xdr:col>
          <xdr:colOff>200025</xdr:colOff>
          <xdr:row>9</xdr:row>
          <xdr:rowOff>0</xdr:rowOff>
        </xdr:to>
        <xdr:sp macro="" textlink="">
          <xdr:nvSpPr>
            <xdr:cNvPr id="136194" name="Button 2" hidden="1">
              <a:extLst>
                <a:ext uri="{63B3BB69-23CF-44E3-9099-C40C66FF867C}">
                  <a14:compatExt spid="_x0000_s13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800000"/>
                  </a:solidFill>
                  <a:latin typeface="맑은 고딕"/>
                  <a:ea typeface="맑은 고딕"/>
                </a:rPr>
                <a:t>Text 시트 삭제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647700</xdr:colOff>
      <xdr:row>1</xdr:row>
      <xdr:rowOff>161925</xdr:rowOff>
    </xdr:from>
    <xdr:to>
      <xdr:col>3</xdr:col>
      <xdr:colOff>66675</xdr:colOff>
      <xdr:row>9</xdr:row>
      <xdr:rowOff>76201</xdr:rowOff>
    </xdr:to>
    <xdr:sp macro="" textlink="">
      <xdr:nvSpPr>
        <xdr:cNvPr id="7" name="직사각형 6"/>
        <xdr:cNvSpPr/>
      </xdr:nvSpPr>
      <xdr:spPr>
        <a:xfrm>
          <a:off x="647700" y="409575"/>
          <a:ext cx="6019800" cy="1895476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clear"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276225</xdr:colOff>
      <xdr:row>1</xdr:row>
      <xdr:rowOff>114300</xdr:rowOff>
    </xdr:from>
    <xdr:to>
      <xdr:col>15</xdr:col>
      <xdr:colOff>657225</xdr:colOff>
      <xdr:row>8</xdr:row>
      <xdr:rowOff>133350</xdr:rowOff>
    </xdr:to>
    <xdr:sp macro="" textlink="">
      <xdr:nvSpPr>
        <xdr:cNvPr id="2" name="가로로 말린 두루마리 모양 1"/>
        <xdr:cNvSpPr/>
      </xdr:nvSpPr>
      <xdr:spPr>
        <a:xfrm>
          <a:off x="9696450" y="361950"/>
          <a:ext cx="6172200" cy="1752600"/>
        </a:xfrm>
        <a:prstGeom prst="horizontalScroll">
          <a:avLst/>
        </a:prstGeom>
        <a:solidFill>
          <a:schemeClr val="accent1">
            <a:lumMod val="20000"/>
            <a:lumOff val="8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  <a:latin typeface="+mn-ea"/>
              <a:ea typeface="+mn-ea"/>
            </a:rPr>
            <a:t>&lt;</a:t>
          </a:r>
          <a:r>
            <a:rPr lang="ko-KR" altLang="en-US" sz="1100" b="1">
              <a:solidFill>
                <a:sysClr val="windowText" lastClr="000000"/>
              </a:solidFill>
              <a:latin typeface="+mn-ea"/>
              <a:ea typeface="+mn-ea"/>
            </a:rPr>
            <a:t>사용방법</a:t>
          </a:r>
          <a:r>
            <a:rPr lang="en-US" altLang="ko-KR" sz="1100" b="1">
              <a:solidFill>
                <a:sysClr val="windowText" lastClr="000000"/>
              </a:solidFill>
              <a:latin typeface="+mn-ea"/>
              <a:ea typeface="+mn-ea"/>
            </a:rPr>
            <a:t>&gt;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1) "Text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폴더 선택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"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버튼을 클릭합니다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2) "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재무제표 텍스트 파일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"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을 저장한 폴더를 선택합니다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3) "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총괄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"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시트로 자동으로 이동합니다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  <a:endParaRPr lang="ko-KR" altLang="en-US" sz="1100" b="0">
            <a:solidFill>
              <a:schemeClr val="accent2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57697" name="ComboBox1" hidden="1">
              <a:extLst>
                <a:ext uri="{63B3BB69-23CF-44E3-9099-C40C66FF867C}">
                  <a14:compatExt spid="_x0000_s157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638173</xdr:colOff>
      <xdr:row>22</xdr:row>
      <xdr:rowOff>238124</xdr:rowOff>
    </xdr:from>
    <xdr:to>
      <xdr:col>10</xdr:col>
      <xdr:colOff>28575</xdr:colOff>
      <xdr:row>43</xdr:row>
      <xdr:rowOff>0</xdr:rowOff>
    </xdr:to>
    <xdr:sp macro="" textlink="">
      <xdr:nvSpPr>
        <xdr:cNvPr id="3" name="가로로 말린 두루마리 모양 2"/>
        <xdr:cNvSpPr/>
      </xdr:nvSpPr>
      <xdr:spPr>
        <a:xfrm>
          <a:off x="638173" y="1838324"/>
          <a:ext cx="10668002" cy="4295776"/>
        </a:xfrm>
        <a:prstGeom prst="horizontalScroll">
          <a:avLst/>
        </a:prstGeom>
        <a:solidFill>
          <a:schemeClr val="accent1">
            <a:lumMod val="20000"/>
            <a:lumOff val="8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  <a:latin typeface="+mn-ea"/>
              <a:ea typeface="+mn-ea"/>
            </a:rPr>
            <a:t>&lt;</a:t>
          </a:r>
          <a:r>
            <a:rPr lang="ko-KR" altLang="en-US" sz="1100" b="1">
              <a:solidFill>
                <a:sysClr val="windowText" lastClr="000000"/>
              </a:solidFill>
              <a:latin typeface="+mn-ea"/>
              <a:ea typeface="+mn-ea"/>
            </a:rPr>
            <a:t>사용방법 및 주의사항</a:t>
          </a:r>
          <a:r>
            <a:rPr lang="en-US" altLang="ko-KR" sz="1100" b="1">
              <a:solidFill>
                <a:sysClr val="windowText" lastClr="000000"/>
              </a:solidFill>
              <a:latin typeface="+mn-ea"/>
              <a:ea typeface="+mn-ea"/>
            </a:rPr>
            <a:t>&gt;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1)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회사명 컬럼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(D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열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)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에 조회할 회사명을 입력하거나 리스트에서 선택합니다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2)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해당 회사의 재무제표 종류의 시트명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(F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열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)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을 클릭하면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,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해당 재무정보 시트로 자동이동합니다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    *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해당 회사가 제출한 재무제표 종류만 리스트에 표시됩니다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3)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비교선택 컬럼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(J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열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)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에서 비교하고자 하는 재무제표 종류를 선택하면 </a:t>
          </a:r>
          <a:r>
            <a:rPr lang="en-US" altLang="ko-KR" sz="1100" b="0">
              <a:solidFill>
                <a:sysClr val="windowText" lastClr="000000"/>
              </a:solidFill>
              <a:latin typeface="+mn-ea"/>
              <a:ea typeface="+mn-ea"/>
            </a:rPr>
            <a:t>V </a:t>
          </a:r>
          <a:r>
            <a:rPr lang="ko-KR" altLang="en-US" sz="1100" b="0">
              <a:solidFill>
                <a:sysClr val="windowText" lastClr="000000"/>
              </a:solidFill>
              <a:latin typeface="+mn-ea"/>
              <a:ea typeface="+mn-ea"/>
            </a:rPr>
            <a:t>표시가 생성되며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 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'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재무비율 비교 시트로 이동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'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을 누르면 재무비율 비교시트에서   </a:t>
          </a:r>
          <a:endParaRPr lang="en-US" altLang="ko-KR" sz="1100" b="0" baseline="0">
            <a:solidFill>
              <a:sysClr val="windowText" lastClr="000000"/>
            </a:solidFill>
            <a:latin typeface="+mn-ea"/>
            <a:ea typeface="+mn-ea"/>
          </a:endParaRPr>
        </a:p>
        <a:p>
          <a:pPr algn="l"/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   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비교하고자하는 재무제표 종류에서 산출되는 재무비율을 비교할 수 있습니다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   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선택 해제는 각각의 선택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(V)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를 다시 클릭 하거나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,  '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재무비율 비교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'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시트에서 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'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초기화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' </a:t>
          </a:r>
          <a:r>
            <a:rPr lang="ko-KR" altLang="en-US" sz="1100" b="0" baseline="0">
              <a:solidFill>
                <a:sysClr val="windowText" lastClr="000000"/>
              </a:solidFill>
              <a:latin typeface="+mn-ea"/>
              <a:ea typeface="+mn-ea"/>
            </a:rPr>
            <a:t>버튼을 클릭하면 전체  초기화가  가능합니다</a:t>
          </a:r>
          <a:r>
            <a:rPr lang="en-US" altLang="ko-KR" sz="1100" b="0" baseline="0">
              <a:solidFill>
                <a:sysClr val="windowText" lastClr="000000"/>
              </a:solidFill>
              <a:latin typeface="+mn-ea"/>
              <a:ea typeface="+mn-ea"/>
            </a:rPr>
            <a:t>.</a:t>
          </a:r>
          <a:endParaRPr lang="en-US" altLang="ko-KR" sz="1100" b="0">
            <a:solidFill>
              <a:sysClr val="windowText" lastClr="000000"/>
            </a:solidFill>
            <a:latin typeface="+mn-ea"/>
            <a:ea typeface="+mn-ea"/>
          </a:endParaRPr>
        </a:p>
        <a:p>
          <a:pPr algn="l"/>
          <a:r>
            <a:rPr lang="en-US" altLang="ko-KR" sz="1100" b="0">
              <a:solidFill>
                <a:schemeClr val="accent2"/>
              </a:solidFill>
              <a:latin typeface="+mn-ea"/>
              <a:ea typeface="+mn-ea"/>
            </a:rPr>
            <a:t>4) </a:t>
          </a:r>
          <a:r>
            <a:rPr lang="ko-KR" altLang="en-US" sz="1100" b="0">
              <a:solidFill>
                <a:schemeClr val="accent2"/>
              </a:solidFill>
              <a:latin typeface="+mn-ea"/>
              <a:ea typeface="+mn-ea"/>
            </a:rPr>
            <a:t>데이터에 </a:t>
          </a:r>
          <a:r>
            <a:rPr lang="en-US" altLang="ko-KR" sz="1100" b="0">
              <a:solidFill>
                <a:schemeClr val="accent2"/>
              </a:solidFill>
              <a:latin typeface="+mn-ea"/>
              <a:ea typeface="+mn-ea"/>
            </a:rPr>
            <a:t>"#N/A"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 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표시가 나오는 경우에는 해당 금액이 없거나 회사가 표준계정과목을 사용하지 않아 참조를 가져오지 못하는 경우이므로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, 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이런 경우 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DART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에 공시된 자료 등을 이용하여 별도로 계산할 필요가 있습니다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.</a:t>
          </a:r>
        </a:p>
        <a:p>
          <a:pPr algn="l"/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* 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회사가 표준계정과목을 사용하지 않는 것은 표준계정과목 체계와 회사가 사용하는 계정과목체계가 상이하기 때문이며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, 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현행 기준상 표준계정과목코드 사용여부는 회사의 자율적 판단사항입니다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.(</a:t>
          </a:r>
          <a:r>
            <a:rPr lang="ko-KR" altLang="en-US" sz="1100" b="0" baseline="0">
              <a:solidFill>
                <a:schemeClr val="accent2"/>
              </a:solidFill>
              <a:latin typeface="+mn-ea"/>
              <a:ea typeface="+mn-ea"/>
            </a:rPr>
            <a:t>자세한 사항은 활용가이드 참조</a:t>
          </a:r>
          <a:r>
            <a:rPr lang="en-US" altLang="ko-KR" sz="1100" b="0" baseline="0">
              <a:solidFill>
                <a:schemeClr val="accent2"/>
              </a:solidFill>
              <a:latin typeface="+mn-ea"/>
              <a:ea typeface="+mn-ea"/>
            </a:rPr>
            <a:t>)</a:t>
          </a:r>
          <a:endParaRPr lang="ko-KR" altLang="en-US" sz="1100" b="0">
            <a:solidFill>
              <a:schemeClr val="accent2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209550</xdr:rowOff>
        </xdr:from>
        <xdr:to>
          <xdr:col>7</xdr:col>
          <xdr:colOff>409575</xdr:colOff>
          <xdr:row>1</xdr:row>
          <xdr:rowOff>304800</xdr:rowOff>
        </xdr:to>
        <xdr:sp macro="" textlink="">
          <xdr:nvSpPr>
            <xdr:cNvPr id="186369" name="CommandButton1" hidden="1">
              <a:extLst>
                <a:ext uri="{63B3BB69-23CF-44E3-9099-C40C66FF867C}">
                  <a14:compatExt spid="_x0000_s186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287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286" name="ComboBox1" hidden="1">
              <a:extLst>
                <a:ext uri="{63B3BB69-23CF-44E3-9099-C40C66FF867C}">
                  <a14:compatExt spid="_x0000_s2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313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312" name="ComboBox1" hidden="1">
              <a:extLst>
                <a:ext uri="{63B3BB69-23CF-44E3-9099-C40C66FF867C}">
                  <a14:compatExt spid="_x0000_s3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4278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277" name="ComboBox1" hidden="1">
              <a:extLst>
                <a:ext uri="{63B3BB69-23CF-44E3-9099-C40C66FF867C}">
                  <a14:compatExt spid="_x0000_s4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5304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303" name="ComboBox1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6252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6251" name="ComboBox1" hidden="1">
              <a:extLst>
                <a:ext uri="{63B3BB69-23CF-44E3-9099-C40C66FF867C}">
                  <a14:compatExt spid="_x0000_s6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274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7273" name="ComboBox1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8274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8273" name="ComboBox1" hidden="1">
              <a:extLst>
                <a:ext uri="{63B3BB69-23CF-44E3-9099-C40C66FF867C}">
                  <a14:compatExt spid="_x0000_s8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296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9295" name="ComboBox1" hidden="1">
              <a:extLst>
                <a:ext uri="{63B3BB69-23CF-44E3-9099-C40C66FF867C}">
                  <a14:compatExt spid="_x0000_s9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20</xdr:row>
      <xdr:rowOff>114300</xdr:rowOff>
    </xdr:to>
    <xdr:sp macro="" textlink="">
      <xdr:nvSpPr>
        <xdr:cNvPr id="10279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78" name="ComboBox1" hidden="1">
              <a:extLst>
                <a:ext uri="{63B3BB69-23CF-44E3-9099-C40C66FF867C}">
                  <a14:compatExt spid="_x0000_s10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20</xdr:row>
      <xdr:rowOff>114300</xdr:rowOff>
    </xdr:to>
    <xdr:sp macro="" textlink="">
      <xdr:nvSpPr>
        <xdr:cNvPr id="11300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1299" name="ComboBox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2342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341" name="ComboBox1" hidden="1">
              <a:extLst>
                <a:ext uri="{63B3BB69-23CF-44E3-9099-C40C66FF867C}">
                  <a14:compatExt spid="_x0000_s12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363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3362" name="ComboBox1" hidden="1">
              <a:extLst>
                <a:ext uri="{63B3BB69-23CF-44E3-9099-C40C66FF867C}">
                  <a14:compatExt spid="_x0000_s13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4472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4471" name="ComboBox1" hidden="1">
              <a:extLst>
                <a:ext uri="{63B3BB69-23CF-44E3-9099-C40C66FF867C}">
                  <a14:compatExt spid="_x0000_s14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5491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" name="ComboBox1" hidden="1">
              <a:extLst>
                <a:ext uri="{63B3BB69-23CF-44E3-9099-C40C66FF867C}">
                  <a14:compatExt spid="_x0000_s15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6535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6534" name="ComboBox1" hidden="1">
              <a:extLst>
                <a:ext uri="{63B3BB69-23CF-44E3-9099-C40C66FF867C}">
                  <a14:compatExt spid="_x0000_s16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7554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7553" name="ComboBox1" hidden="1">
              <a:extLst>
                <a:ext uri="{63B3BB69-23CF-44E3-9099-C40C66FF867C}">
                  <a14:compatExt spid="_x0000_s17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8542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8541" name="ComboBox1" hidden="1">
              <a:extLst>
                <a:ext uri="{63B3BB69-23CF-44E3-9099-C40C66FF867C}">
                  <a14:compatExt spid="_x0000_s18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9561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9560" name="ComboBox1" hidden="1">
              <a:extLst>
                <a:ext uri="{63B3BB69-23CF-44E3-9099-C40C66FF867C}">
                  <a14:compatExt spid="_x0000_s19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0605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0604" name="ComboBox1" hidden="1">
              <a:extLst>
                <a:ext uri="{63B3BB69-23CF-44E3-9099-C40C66FF867C}">
                  <a14:compatExt spid="_x0000_s20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1624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623" name="ComboBox1" hidden="1">
              <a:extLst>
                <a:ext uri="{63B3BB69-23CF-44E3-9099-C40C66FF867C}">
                  <a14:compatExt spid="_x0000_s21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6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image" Target="../media/image7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image" Target="../media/image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image" Target="../media/image10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image" Target="../media/image1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image" Target="../media/image12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image" Target="../media/image13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image" Target="../media/image14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Relationship Id="rId4" Type="http://schemas.openxmlformats.org/officeDocument/2006/relationships/image" Target="../media/image1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4" Type="http://schemas.openxmlformats.org/officeDocument/2006/relationships/image" Target="../media/image1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image" Target="../media/image18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image" Target="../media/image19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image" Target="../media/image20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4" Type="http://schemas.openxmlformats.org/officeDocument/2006/relationships/image" Target="../media/image21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4" Type="http://schemas.openxmlformats.org/officeDocument/2006/relationships/image" Target="../media/image22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4" Type="http://schemas.openxmlformats.org/officeDocument/2006/relationships/image" Target="../media/image23.emf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7"/>
  <sheetViews>
    <sheetView workbookViewId="0"/>
  </sheetViews>
  <sheetFormatPr defaultRowHeight="16.5"/>
  <sheetData>
    <row r="27" ht="17.25" customHeight="1"/>
  </sheetData>
  <phoneticPr fontId="1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5"/>
  <dimension ref="B3:C9"/>
  <sheetViews>
    <sheetView tabSelected="1" workbookViewId="0">
      <selection activeCell="J12" sqref="J12"/>
    </sheetView>
  </sheetViews>
  <sheetFormatPr defaultColWidth="9.5" defaultRowHeight="19.5" customHeight="1"/>
  <cols>
    <col min="1" max="1" width="9.5" style="40"/>
    <col min="2" max="2" width="54.625" style="40" customWidth="1"/>
    <col min="3" max="3" width="22.5" style="40" customWidth="1"/>
    <col min="4" max="5" width="9.5" style="40"/>
    <col min="6" max="6" width="8.5" style="40" customWidth="1"/>
    <col min="7" max="16384" width="9.5" style="40"/>
  </cols>
  <sheetData>
    <row r="3" spans="2:3" ht="19.5" customHeight="1" thickBot="1">
      <c r="B3" s="42" t="s">
        <v>8381</v>
      </c>
      <c r="C3" s="43" t="s">
        <v>8382</v>
      </c>
    </row>
    <row r="4" spans="2:3" ht="19.5" customHeight="1" thickTop="1">
      <c r="B4" s="59"/>
      <c r="C4" s="60"/>
    </row>
    <row r="5" spans="2:3" ht="19.5" customHeight="1">
      <c r="B5" s="59"/>
      <c r="C5" s="60"/>
    </row>
    <row r="6" spans="2:3" ht="19.5" customHeight="1">
      <c r="B6" s="59"/>
      <c r="C6" s="60"/>
    </row>
    <row r="7" spans="2:3" ht="19.5" customHeight="1">
      <c r="B7" s="59"/>
      <c r="C7" s="60"/>
    </row>
    <row r="8" spans="2:3" ht="19.5" customHeight="1">
      <c r="B8" s="59"/>
      <c r="C8" s="60"/>
    </row>
    <row r="9" spans="2:3" ht="19.5" customHeight="1">
      <c r="B9" s="41"/>
      <c r="C9" s="44"/>
    </row>
  </sheetData>
  <phoneticPr fontId="1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3" r:id="rId4" name="Button 1">
              <controlPr defaultSize="0" print="0" autoFill="0" autoPict="0" macro="[0]!파일열기">
                <anchor moveWithCells="1" sizeWithCells="1">
                  <from>
                    <xdr:col>3</xdr:col>
                    <xdr:colOff>714375</xdr:colOff>
                    <xdr:row>2</xdr:row>
                    <xdr:rowOff>9525</xdr:rowOff>
                  </from>
                  <to>
                    <xdr:col>6</xdr:col>
                    <xdr:colOff>190500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4" r:id="rId5" name="Button 2">
              <controlPr defaultSize="0" print="0" autoFill="0" autoPict="0" macro="[0]!SheetDelete">
                <anchor moveWithCells="1" sizeWithCells="1">
                  <from>
                    <xdr:col>4</xdr:col>
                    <xdr:colOff>0</xdr:colOff>
                    <xdr:row>6</xdr:row>
                    <xdr:rowOff>9525</xdr:rowOff>
                  </from>
                  <to>
                    <xdr:col>6</xdr:col>
                    <xdr:colOff>200025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080"/>
  <sheetViews>
    <sheetView workbookViewId="0">
      <selection activeCell="J1184" sqref="J1184"/>
    </sheetView>
  </sheetViews>
  <sheetFormatPr defaultRowHeight="16.5"/>
  <cols>
    <col min="2" max="2" width="16.5" customWidth="1"/>
  </cols>
  <sheetData>
    <row r="1" spans="1:2">
      <c r="A1" t="s">
        <v>5346</v>
      </c>
      <c r="B1" t="s">
        <v>5347</v>
      </c>
    </row>
    <row r="2" spans="1:2">
      <c r="A2" t="s">
        <v>5674</v>
      </c>
      <c r="B2" t="s">
        <v>5675</v>
      </c>
    </row>
    <row r="3" spans="1:2">
      <c r="A3" t="s">
        <v>5551</v>
      </c>
      <c r="B3" t="s">
        <v>5552</v>
      </c>
    </row>
    <row r="4" spans="1:2">
      <c r="A4" t="s">
        <v>5360</v>
      </c>
      <c r="B4" t="s">
        <v>5361</v>
      </c>
    </row>
    <row r="5" spans="1:2">
      <c r="A5" t="s">
        <v>5814</v>
      </c>
      <c r="B5" t="s">
        <v>5815</v>
      </c>
    </row>
    <row r="6" spans="1:2">
      <c r="A6" t="s">
        <v>6248</v>
      </c>
      <c r="B6" t="s">
        <v>6249</v>
      </c>
    </row>
    <row r="7" spans="1:2">
      <c r="A7" t="s">
        <v>6147</v>
      </c>
      <c r="B7" t="s">
        <v>6148</v>
      </c>
    </row>
    <row r="8" spans="1:2">
      <c r="A8" t="s">
        <v>5575</v>
      </c>
      <c r="B8" t="s">
        <v>5576</v>
      </c>
    </row>
    <row r="9" spans="1:2">
      <c r="A9" t="s">
        <v>6227</v>
      </c>
      <c r="B9" t="s">
        <v>6228</v>
      </c>
    </row>
    <row r="10" spans="1:2">
      <c r="A10" t="s">
        <v>5634</v>
      </c>
      <c r="B10" t="s">
        <v>5635</v>
      </c>
    </row>
    <row r="11" spans="1:2">
      <c r="A11" t="s">
        <v>5935</v>
      </c>
      <c r="B11" t="s">
        <v>5936</v>
      </c>
    </row>
    <row r="12" spans="1:2">
      <c r="A12" t="s">
        <v>5506</v>
      </c>
      <c r="B12" t="s">
        <v>5507</v>
      </c>
    </row>
    <row r="13" spans="1:2">
      <c r="A13" t="s">
        <v>8547</v>
      </c>
      <c r="B13" t="s">
        <v>8548</v>
      </c>
    </row>
    <row r="14" spans="1:2">
      <c r="A14" t="s">
        <v>6169</v>
      </c>
      <c r="B14" t="s">
        <v>8755</v>
      </c>
    </row>
    <row r="15" spans="1:2">
      <c r="A15" t="s">
        <v>6421</v>
      </c>
      <c r="B15" t="s">
        <v>9605</v>
      </c>
    </row>
    <row r="16" spans="1:2">
      <c r="A16" t="s">
        <v>5850</v>
      </c>
      <c r="B16" t="s">
        <v>5851</v>
      </c>
    </row>
    <row r="17" spans="1:2">
      <c r="A17" t="s">
        <v>5457</v>
      </c>
      <c r="B17" t="s">
        <v>5458</v>
      </c>
    </row>
    <row r="18" spans="1:2">
      <c r="A18" t="s">
        <v>5790</v>
      </c>
      <c r="B18" t="s">
        <v>8637</v>
      </c>
    </row>
    <row r="19" spans="1:2">
      <c r="A19" t="s">
        <v>5579</v>
      </c>
      <c r="B19" t="s">
        <v>5580</v>
      </c>
    </row>
    <row r="20" spans="1:2">
      <c r="A20" t="s">
        <v>5874</v>
      </c>
      <c r="B20" t="s">
        <v>5875</v>
      </c>
    </row>
    <row r="21" spans="1:2">
      <c r="A21" t="s">
        <v>5540</v>
      </c>
      <c r="B21" t="s">
        <v>5541</v>
      </c>
    </row>
    <row r="22" spans="1:2">
      <c r="A22" t="s">
        <v>6241</v>
      </c>
      <c r="B22" t="s">
        <v>6242</v>
      </c>
    </row>
    <row r="23" spans="1:2">
      <c r="A23" t="s">
        <v>6225</v>
      </c>
      <c r="B23" t="s">
        <v>6226</v>
      </c>
    </row>
    <row r="24" spans="1:2">
      <c r="A24" t="s">
        <v>5498</v>
      </c>
      <c r="B24" t="s">
        <v>5499</v>
      </c>
    </row>
    <row r="25" spans="1:2">
      <c r="A25" t="s">
        <v>5416</v>
      </c>
      <c r="B25" t="s">
        <v>5417</v>
      </c>
    </row>
    <row r="26" spans="1:2">
      <c r="A26" t="s">
        <v>5838</v>
      </c>
      <c r="B26" t="s">
        <v>5839</v>
      </c>
    </row>
    <row r="27" spans="1:2">
      <c r="A27" t="s">
        <v>6229</v>
      </c>
      <c r="B27" t="s">
        <v>6230</v>
      </c>
    </row>
    <row r="28" spans="1:2">
      <c r="A28" t="s">
        <v>5625</v>
      </c>
      <c r="B28" t="s">
        <v>5626</v>
      </c>
    </row>
    <row r="29" spans="1:2">
      <c r="A29" t="s">
        <v>6262</v>
      </c>
      <c r="B29" t="s">
        <v>6263</v>
      </c>
    </row>
    <row r="30" spans="1:2">
      <c r="A30" t="s">
        <v>6506</v>
      </c>
      <c r="B30" t="s">
        <v>6507</v>
      </c>
    </row>
    <row r="31" spans="1:2">
      <c r="A31" t="s">
        <v>6092</v>
      </c>
      <c r="B31" t="s">
        <v>6093</v>
      </c>
    </row>
    <row r="32" spans="1:2">
      <c r="A32" t="s">
        <v>5413</v>
      </c>
      <c r="B32" t="s">
        <v>5414</v>
      </c>
    </row>
    <row r="33" spans="1:2">
      <c r="A33" t="s">
        <v>6484</v>
      </c>
      <c r="B33" t="s">
        <v>6485</v>
      </c>
    </row>
    <row r="34" spans="1:2">
      <c r="A34" t="s">
        <v>6491</v>
      </c>
      <c r="B34" t="s">
        <v>6492</v>
      </c>
    </row>
    <row r="35" spans="1:2">
      <c r="A35" t="s">
        <v>8555</v>
      </c>
      <c r="B35" t="s">
        <v>8556</v>
      </c>
    </row>
    <row r="36" spans="1:2">
      <c r="A36" t="s">
        <v>6536</v>
      </c>
      <c r="B36" t="s">
        <v>6537</v>
      </c>
    </row>
    <row r="37" spans="1:2">
      <c r="A37" t="s">
        <v>5350</v>
      </c>
      <c r="B37" t="s">
        <v>8458</v>
      </c>
    </row>
    <row r="38" spans="1:2">
      <c r="A38" t="s">
        <v>6432</v>
      </c>
      <c r="B38" t="s">
        <v>6433</v>
      </c>
    </row>
    <row r="39" spans="1:2">
      <c r="A39" t="s">
        <v>5741</v>
      </c>
      <c r="B39" t="s">
        <v>5742</v>
      </c>
    </row>
    <row r="40" spans="1:2">
      <c r="A40" t="s">
        <v>6139</v>
      </c>
      <c r="B40" t="s">
        <v>6140</v>
      </c>
    </row>
    <row r="41" spans="1:2">
      <c r="A41" t="s">
        <v>6195</v>
      </c>
      <c r="B41" t="s">
        <v>6196</v>
      </c>
    </row>
    <row r="42" spans="1:2">
      <c r="A42" t="s">
        <v>8585</v>
      </c>
      <c r="B42" t="s">
        <v>8586</v>
      </c>
    </row>
    <row r="43" spans="1:2">
      <c r="A43" t="s">
        <v>6436</v>
      </c>
      <c r="B43" t="s">
        <v>8922</v>
      </c>
    </row>
    <row r="44" spans="1:2">
      <c r="A44" t="s">
        <v>5983</v>
      </c>
      <c r="B44" t="s">
        <v>5984</v>
      </c>
    </row>
    <row r="45" spans="1:2">
      <c r="A45" t="s">
        <v>5967</v>
      </c>
      <c r="B45" t="s">
        <v>5968</v>
      </c>
    </row>
    <row r="46" spans="1:2">
      <c r="A46" t="s">
        <v>6213</v>
      </c>
      <c r="B46" t="s">
        <v>6214</v>
      </c>
    </row>
    <row r="47" spans="1:2">
      <c r="A47" t="s">
        <v>6245</v>
      </c>
      <c r="B47" t="s">
        <v>6246</v>
      </c>
    </row>
    <row r="48" spans="1:2">
      <c r="A48" t="s">
        <v>5561</v>
      </c>
      <c r="B48" t="s">
        <v>5562</v>
      </c>
    </row>
    <row r="49" spans="1:2">
      <c r="A49" t="s">
        <v>5691</v>
      </c>
      <c r="B49" t="s">
        <v>5692</v>
      </c>
    </row>
    <row r="50" spans="1:2">
      <c r="A50" t="s">
        <v>5680</v>
      </c>
      <c r="B50" t="s">
        <v>5681</v>
      </c>
    </row>
    <row r="51" spans="1:2">
      <c r="A51" t="s">
        <v>5571</v>
      </c>
      <c r="B51" t="s">
        <v>5572</v>
      </c>
    </row>
    <row r="52" spans="1:2">
      <c r="A52" t="s">
        <v>5407</v>
      </c>
      <c r="B52" t="s">
        <v>5408</v>
      </c>
    </row>
    <row r="53" spans="1:2">
      <c r="A53" t="s">
        <v>5453</v>
      </c>
      <c r="B53" t="s">
        <v>5454</v>
      </c>
    </row>
    <row r="54" spans="1:2">
      <c r="A54" t="s">
        <v>5598</v>
      </c>
      <c r="B54" t="s">
        <v>5599</v>
      </c>
    </row>
    <row r="55" spans="1:2">
      <c r="A55" t="s">
        <v>8368</v>
      </c>
      <c r="B55" t="s">
        <v>8369</v>
      </c>
    </row>
    <row r="56" spans="1:2">
      <c r="A56" t="s">
        <v>5463</v>
      </c>
      <c r="B56" t="s">
        <v>5464</v>
      </c>
    </row>
    <row r="57" spans="1:2">
      <c r="A57" t="s">
        <v>5720</v>
      </c>
      <c r="B57" t="s">
        <v>5721</v>
      </c>
    </row>
    <row r="58" spans="1:2">
      <c r="A58" t="s">
        <v>5803</v>
      </c>
      <c r="B58" t="s">
        <v>5804</v>
      </c>
    </row>
    <row r="59" spans="1:2">
      <c r="A59" t="s">
        <v>6268</v>
      </c>
      <c r="B59" t="s">
        <v>8619</v>
      </c>
    </row>
    <row r="60" spans="1:2">
      <c r="A60" t="s">
        <v>5352</v>
      </c>
      <c r="B60" t="s">
        <v>5353</v>
      </c>
    </row>
    <row r="61" spans="1:2">
      <c r="A61" t="s">
        <v>6304</v>
      </c>
      <c r="B61" t="s">
        <v>6305</v>
      </c>
    </row>
    <row r="62" spans="1:2">
      <c r="A62" t="s">
        <v>5459</v>
      </c>
      <c r="B62" t="s">
        <v>5460</v>
      </c>
    </row>
    <row r="63" spans="1:2">
      <c r="A63" t="s">
        <v>5565</v>
      </c>
      <c r="B63" t="s">
        <v>5566</v>
      </c>
    </row>
    <row r="64" spans="1:2">
      <c r="A64" t="s">
        <v>5725</v>
      </c>
      <c r="B64" t="s">
        <v>5726</v>
      </c>
    </row>
    <row r="65" spans="1:2">
      <c r="A65" t="s">
        <v>8505</v>
      </c>
      <c r="B65" t="s">
        <v>8506</v>
      </c>
    </row>
    <row r="66" spans="1:2">
      <c r="A66" t="s">
        <v>5641</v>
      </c>
      <c r="B66" t="s">
        <v>5642</v>
      </c>
    </row>
    <row r="67" spans="1:2">
      <c r="A67" t="s">
        <v>5663</v>
      </c>
      <c r="B67" t="s">
        <v>9053</v>
      </c>
    </row>
    <row r="68" spans="1:2">
      <c r="A68" t="s">
        <v>6058</v>
      </c>
      <c r="B68" t="s">
        <v>6059</v>
      </c>
    </row>
    <row r="69" spans="1:2">
      <c r="A69" t="s">
        <v>6223</v>
      </c>
      <c r="B69" t="s">
        <v>6224</v>
      </c>
    </row>
    <row r="70" spans="1:2">
      <c r="A70" t="s">
        <v>6207</v>
      </c>
      <c r="B70" t="s">
        <v>6208</v>
      </c>
    </row>
    <row r="71" spans="1:2">
      <c r="A71" t="s">
        <v>5447</v>
      </c>
      <c r="B71" t="s">
        <v>5448</v>
      </c>
    </row>
    <row r="72" spans="1:2">
      <c r="A72" t="s">
        <v>5597</v>
      </c>
      <c r="B72" t="s">
        <v>9480</v>
      </c>
    </row>
    <row r="73" spans="1:2">
      <c r="A73" t="s">
        <v>6237</v>
      </c>
      <c r="B73" t="s">
        <v>6238</v>
      </c>
    </row>
    <row r="74" spans="1:2">
      <c r="A74" t="s">
        <v>5715</v>
      </c>
      <c r="B74" t="s">
        <v>5716</v>
      </c>
    </row>
    <row r="75" spans="1:2">
      <c r="A75" t="s">
        <v>5912</v>
      </c>
      <c r="B75" t="s">
        <v>5913</v>
      </c>
    </row>
    <row r="76" spans="1:2">
      <c r="A76" t="s">
        <v>6023</v>
      </c>
      <c r="B76" t="s">
        <v>6024</v>
      </c>
    </row>
    <row r="77" spans="1:2">
      <c r="A77" t="s">
        <v>5628</v>
      </c>
      <c r="B77" t="s">
        <v>5629</v>
      </c>
    </row>
    <row r="78" spans="1:2">
      <c r="A78" t="s">
        <v>5569</v>
      </c>
      <c r="B78" t="s">
        <v>5570</v>
      </c>
    </row>
    <row r="79" spans="1:2">
      <c r="A79" t="s">
        <v>5645</v>
      </c>
      <c r="B79" t="s">
        <v>9351</v>
      </c>
    </row>
    <row r="80" spans="1:2">
      <c r="A80" t="s">
        <v>5703</v>
      </c>
      <c r="B80" t="s">
        <v>5704</v>
      </c>
    </row>
    <row r="81" spans="1:2">
      <c r="A81" t="s">
        <v>5872</v>
      </c>
      <c r="B81" t="s">
        <v>5873</v>
      </c>
    </row>
    <row r="82" spans="1:2">
      <c r="A82" t="s">
        <v>6161</v>
      </c>
      <c r="B82" t="s">
        <v>6162</v>
      </c>
    </row>
    <row r="83" spans="1:2">
      <c r="A83" t="s">
        <v>5860</v>
      </c>
      <c r="B83" t="s">
        <v>5861</v>
      </c>
    </row>
    <row r="84" spans="1:2">
      <c r="A84" t="s">
        <v>6409</v>
      </c>
      <c r="B84" t="s">
        <v>6410</v>
      </c>
    </row>
    <row r="85" spans="1:2">
      <c r="A85" t="s">
        <v>6284</v>
      </c>
      <c r="B85" t="s">
        <v>6285</v>
      </c>
    </row>
    <row r="86" spans="1:2">
      <c r="A86" t="s">
        <v>6048</v>
      </c>
      <c r="B86" t="s">
        <v>6049</v>
      </c>
    </row>
    <row r="87" spans="1:2">
      <c r="A87" t="s">
        <v>5471</v>
      </c>
      <c r="B87" t="s">
        <v>5472</v>
      </c>
    </row>
    <row r="88" spans="1:2">
      <c r="A88" t="s">
        <v>5354</v>
      </c>
      <c r="B88" t="s">
        <v>5355</v>
      </c>
    </row>
    <row r="89" spans="1:2">
      <c r="A89" t="s">
        <v>5378</v>
      </c>
      <c r="B89" t="s">
        <v>5379</v>
      </c>
    </row>
    <row r="90" spans="1:2">
      <c r="A90" t="s">
        <v>5595</v>
      </c>
      <c r="B90" t="s">
        <v>5596</v>
      </c>
    </row>
    <row r="91" spans="1:2">
      <c r="A91" t="s">
        <v>5818</v>
      </c>
      <c r="B91" t="s">
        <v>5819</v>
      </c>
    </row>
    <row r="92" spans="1:2">
      <c r="A92" t="s">
        <v>6370</v>
      </c>
      <c r="B92" t="s">
        <v>6371</v>
      </c>
    </row>
    <row r="93" spans="1:2">
      <c r="A93" t="s">
        <v>5615</v>
      </c>
      <c r="B93" t="s">
        <v>5616</v>
      </c>
    </row>
    <row r="94" spans="1:2">
      <c r="A94" t="s">
        <v>6475</v>
      </c>
      <c r="B94" t="s">
        <v>6476</v>
      </c>
    </row>
    <row r="95" spans="1:2">
      <c r="A95" t="s">
        <v>6336</v>
      </c>
      <c r="B95" t="s">
        <v>6337</v>
      </c>
    </row>
    <row r="96" spans="1:2">
      <c r="A96" t="s">
        <v>5382</v>
      </c>
      <c r="B96" t="s">
        <v>5383</v>
      </c>
    </row>
    <row r="97" spans="1:2">
      <c r="A97" t="s">
        <v>5683</v>
      </c>
      <c r="B97" t="s">
        <v>5684</v>
      </c>
    </row>
    <row r="98" spans="1:2">
      <c r="A98" t="s">
        <v>5834</v>
      </c>
      <c r="B98" t="s">
        <v>5835</v>
      </c>
    </row>
    <row r="99" spans="1:2">
      <c r="A99" t="s">
        <v>6399</v>
      </c>
      <c r="B99" t="s">
        <v>6400</v>
      </c>
    </row>
    <row r="100" spans="1:2">
      <c r="A100" t="s">
        <v>6050</v>
      </c>
      <c r="B100" t="s">
        <v>6051</v>
      </c>
    </row>
    <row r="101" spans="1:2">
      <c r="A101" t="s">
        <v>6480</v>
      </c>
      <c r="B101" t="s">
        <v>6481</v>
      </c>
    </row>
    <row r="102" spans="1:2">
      <c r="A102" t="s">
        <v>6594</v>
      </c>
      <c r="B102" t="s">
        <v>6595</v>
      </c>
    </row>
    <row r="103" spans="1:2">
      <c r="A103" t="s">
        <v>6000</v>
      </c>
      <c r="B103" t="s">
        <v>6001</v>
      </c>
    </row>
    <row r="104" spans="1:2">
      <c r="A104" t="s">
        <v>5430</v>
      </c>
      <c r="B104" t="s">
        <v>5431</v>
      </c>
    </row>
    <row r="105" spans="1:2">
      <c r="A105" t="s">
        <v>6439</v>
      </c>
      <c r="B105" t="s">
        <v>6440</v>
      </c>
    </row>
    <row r="106" spans="1:2">
      <c r="A106" t="s">
        <v>5727</v>
      </c>
      <c r="B106" t="s">
        <v>5728</v>
      </c>
    </row>
    <row r="107" spans="1:2">
      <c r="A107" t="s">
        <v>5941</v>
      </c>
      <c r="B107" t="s">
        <v>5942</v>
      </c>
    </row>
    <row r="108" spans="1:2">
      <c r="A108" t="s">
        <v>5830</v>
      </c>
      <c r="B108" t="s">
        <v>5831</v>
      </c>
    </row>
    <row r="109" spans="1:2">
      <c r="A109" t="s">
        <v>6604</v>
      </c>
      <c r="B109" t="s">
        <v>6605</v>
      </c>
    </row>
    <row r="110" spans="1:2">
      <c r="A110" t="s">
        <v>6235</v>
      </c>
      <c r="B110" t="s">
        <v>6236</v>
      </c>
    </row>
    <row r="111" spans="1:2">
      <c r="A111" t="s">
        <v>6205</v>
      </c>
      <c r="B111" t="s">
        <v>9443</v>
      </c>
    </row>
    <row r="112" spans="1:2">
      <c r="A112" t="s">
        <v>8541</v>
      </c>
      <c r="B112" t="s">
        <v>8542</v>
      </c>
    </row>
    <row r="113" spans="1:2">
      <c r="A113" t="s">
        <v>6076</v>
      </c>
      <c r="B113" t="s">
        <v>6077</v>
      </c>
    </row>
    <row r="114" spans="1:2">
      <c r="A114" t="s">
        <v>5664</v>
      </c>
      <c r="B114" t="s">
        <v>5665</v>
      </c>
    </row>
    <row r="115" spans="1:2">
      <c r="A115" t="s">
        <v>6589</v>
      </c>
      <c r="B115" t="s">
        <v>9227</v>
      </c>
    </row>
    <row r="116" spans="1:2">
      <c r="A116" t="s">
        <v>5640</v>
      </c>
      <c r="B116" t="s">
        <v>8954</v>
      </c>
    </row>
    <row r="117" spans="1:2">
      <c r="A117" t="s">
        <v>5415</v>
      </c>
      <c r="B117" t="s">
        <v>8625</v>
      </c>
    </row>
    <row r="118" spans="1:2">
      <c r="A118" t="s">
        <v>5735</v>
      </c>
      <c r="B118" t="s">
        <v>5736</v>
      </c>
    </row>
    <row r="119" spans="1:2">
      <c r="A119" t="s">
        <v>6254</v>
      </c>
      <c r="B119" t="s">
        <v>6255</v>
      </c>
    </row>
    <row r="120" spans="1:2">
      <c r="A120" t="s">
        <v>6310</v>
      </c>
      <c r="B120" t="s">
        <v>6311</v>
      </c>
    </row>
    <row r="121" spans="1:2">
      <c r="A121" t="s">
        <v>8686</v>
      </c>
      <c r="B121" t="s">
        <v>8687</v>
      </c>
    </row>
    <row r="122" spans="1:2">
      <c r="A122" t="s">
        <v>5822</v>
      </c>
      <c r="B122" t="s">
        <v>5823</v>
      </c>
    </row>
    <row r="123" spans="1:2">
      <c r="A123" t="s">
        <v>5340</v>
      </c>
      <c r="B123" t="s">
        <v>5341</v>
      </c>
    </row>
    <row r="124" spans="1:2">
      <c r="A124" t="s">
        <v>5713</v>
      </c>
      <c r="B124" t="s">
        <v>5714</v>
      </c>
    </row>
    <row r="125" spans="1:2">
      <c r="A125" t="s">
        <v>6021</v>
      </c>
      <c r="B125" t="s">
        <v>6022</v>
      </c>
    </row>
    <row r="126" spans="1:2">
      <c r="A126" t="s">
        <v>6243</v>
      </c>
      <c r="B126" t="s">
        <v>6244</v>
      </c>
    </row>
    <row r="127" spans="1:2">
      <c r="A127" t="s">
        <v>5636</v>
      </c>
      <c r="B127" t="s">
        <v>5637</v>
      </c>
    </row>
    <row r="128" spans="1:2">
      <c r="A128" t="s">
        <v>6600</v>
      </c>
      <c r="B128" t="s">
        <v>6601</v>
      </c>
    </row>
    <row r="129" spans="1:2">
      <c r="A129" t="s">
        <v>6372</v>
      </c>
      <c r="B129" t="s">
        <v>6373</v>
      </c>
    </row>
    <row r="130" spans="1:2">
      <c r="A130" t="s">
        <v>5449</v>
      </c>
      <c r="B130" t="s">
        <v>5450</v>
      </c>
    </row>
    <row r="131" spans="1:2">
      <c r="A131" t="s">
        <v>5743</v>
      </c>
      <c r="B131" t="s">
        <v>5744</v>
      </c>
    </row>
    <row r="132" spans="1:2">
      <c r="A132" t="s">
        <v>6517</v>
      </c>
      <c r="B132" t="s">
        <v>6518</v>
      </c>
    </row>
    <row r="133" spans="1:2">
      <c r="A133" t="s">
        <v>5755</v>
      </c>
      <c r="B133" t="s">
        <v>9192</v>
      </c>
    </row>
    <row r="134" spans="1:2">
      <c r="A134" t="s">
        <v>5351</v>
      </c>
      <c r="B134" t="s">
        <v>9310</v>
      </c>
    </row>
    <row r="135" spans="1:2">
      <c r="A135" t="s">
        <v>6286</v>
      </c>
      <c r="B135" t="s">
        <v>6287</v>
      </c>
    </row>
    <row r="136" spans="1:2">
      <c r="A136" t="s">
        <v>5927</v>
      </c>
      <c r="B136" t="s">
        <v>5928</v>
      </c>
    </row>
    <row r="137" spans="1:2">
      <c r="A137" t="s">
        <v>5538</v>
      </c>
      <c r="B137" t="s">
        <v>5539</v>
      </c>
    </row>
    <row r="138" spans="1:2">
      <c r="A138" t="s">
        <v>5916</v>
      </c>
      <c r="B138" t="s">
        <v>5917</v>
      </c>
    </row>
    <row r="139" spans="1:2">
      <c r="A139" t="s">
        <v>6171</v>
      </c>
      <c r="B139" t="s">
        <v>6172</v>
      </c>
    </row>
    <row r="140" spans="1:2">
      <c r="A140" t="s">
        <v>5659</v>
      </c>
      <c r="B140" t="s">
        <v>5660</v>
      </c>
    </row>
    <row r="141" spans="1:2">
      <c r="A141" t="s">
        <v>6175</v>
      </c>
      <c r="B141" t="s">
        <v>6176</v>
      </c>
    </row>
    <row r="142" spans="1:2">
      <c r="A142" t="s">
        <v>5545</v>
      </c>
      <c r="B142" t="s">
        <v>5546</v>
      </c>
    </row>
    <row r="143" spans="1:2">
      <c r="A143" t="s">
        <v>5816</v>
      </c>
      <c r="B143" t="s">
        <v>5817</v>
      </c>
    </row>
    <row r="144" spans="1:2">
      <c r="A144" t="s">
        <v>6295</v>
      </c>
      <c r="B144" t="s">
        <v>6296</v>
      </c>
    </row>
    <row r="145" spans="1:2">
      <c r="A145" t="s">
        <v>6548</v>
      </c>
      <c r="B145" t="s">
        <v>6549</v>
      </c>
    </row>
    <row r="146" spans="1:2">
      <c r="A146" t="s">
        <v>6471</v>
      </c>
      <c r="B146" t="s">
        <v>9615</v>
      </c>
    </row>
    <row r="147" spans="1:2">
      <c r="A147" t="s">
        <v>5553</v>
      </c>
      <c r="B147" t="s">
        <v>5554</v>
      </c>
    </row>
    <row r="148" spans="1:2">
      <c r="A148" t="s">
        <v>6434</v>
      </c>
      <c r="B148" t="s">
        <v>6435</v>
      </c>
    </row>
    <row r="149" spans="1:2">
      <c r="A149" t="s">
        <v>9593</v>
      </c>
      <c r="B149" t="s">
        <v>9594</v>
      </c>
    </row>
    <row r="150" spans="1:2">
      <c r="A150" t="s">
        <v>6028</v>
      </c>
      <c r="B150" t="s">
        <v>6029</v>
      </c>
    </row>
    <row r="151" spans="1:2">
      <c r="A151" t="s">
        <v>6482</v>
      </c>
      <c r="B151" t="s">
        <v>6483</v>
      </c>
    </row>
    <row r="152" spans="1:2">
      <c r="A152" t="s">
        <v>5581</v>
      </c>
      <c r="B152" t="s">
        <v>5582</v>
      </c>
    </row>
    <row r="153" spans="1:2">
      <c r="A153" t="s">
        <v>6088</v>
      </c>
      <c r="B153" t="s">
        <v>9343</v>
      </c>
    </row>
    <row r="154" spans="1:2">
      <c r="A154" t="s">
        <v>5676</v>
      </c>
      <c r="B154" t="s">
        <v>5677</v>
      </c>
    </row>
    <row r="155" spans="1:2">
      <c r="A155" t="s">
        <v>6308</v>
      </c>
      <c r="B155" t="s">
        <v>6309</v>
      </c>
    </row>
    <row r="156" spans="1:2">
      <c r="A156" t="s">
        <v>5961</v>
      </c>
      <c r="B156" t="s">
        <v>5962</v>
      </c>
    </row>
    <row r="157" spans="1:2">
      <c r="A157" t="s">
        <v>6553</v>
      </c>
      <c r="B157" t="s">
        <v>8995</v>
      </c>
    </row>
    <row r="158" spans="1:2">
      <c r="A158" t="s">
        <v>6030</v>
      </c>
      <c r="B158" t="s">
        <v>6031</v>
      </c>
    </row>
    <row r="159" spans="1:2">
      <c r="A159" t="s">
        <v>5717</v>
      </c>
      <c r="B159" t="s">
        <v>5718</v>
      </c>
    </row>
    <row r="160" spans="1:2">
      <c r="A160" t="s">
        <v>6322</v>
      </c>
      <c r="B160" t="s">
        <v>9558</v>
      </c>
    </row>
    <row r="161" spans="1:2">
      <c r="A161" t="s">
        <v>6456</v>
      </c>
      <c r="B161" t="s">
        <v>6457</v>
      </c>
    </row>
    <row r="162" spans="1:2">
      <c r="A162" t="s">
        <v>5826</v>
      </c>
      <c r="B162" t="s">
        <v>5827</v>
      </c>
    </row>
    <row r="163" spans="1:2">
      <c r="A163" t="s">
        <v>6250</v>
      </c>
      <c r="B163" t="s">
        <v>6251</v>
      </c>
    </row>
    <row r="164" spans="1:2">
      <c r="A164" t="s">
        <v>6068</v>
      </c>
      <c r="B164" t="s">
        <v>6069</v>
      </c>
    </row>
    <row r="165" spans="1:2">
      <c r="A165" t="s">
        <v>5585</v>
      </c>
      <c r="B165" t="s">
        <v>5586</v>
      </c>
    </row>
    <row r="166" spans="1:2">
      <c r="A166" t="s">
        <v>5737</v>
      </c>
      <c r="B166" t="s">
        <v>5738</v>
      </c>
    </row>
    <row r="167" spans="1:2">
      <c r="A167" t="s">
        <v>5467</v>
      </c>
      <c r="B167" t="s">
        <v>5468</v>
      </c>
    </row>
    <row r="168" spans="1:2">
      <c r="A168" t="s">
        <v>5508</v>
      </c>
      <c r="B168" t="s">
        <v>5509</v>
      </c>
    </row>
    <row r="169" spans="1:2">
      <c r="A169" t="s">
        <v>6364</v>
      </c>
      <c r="B169" t="s">
        <v>8484</v>
      </c>
    </row>
    <row r="170" spans="1:2">
      <c r="A170" t="s">
        <v>6167</v>
      </c>
      <c r="B170" t="s">
        <v>6168</v>
      </c>
    </row>
    <row r="171" spans="1:2">
      <c r="A171" t="s">
        <v>5937</v>
      </c>
      <c r="B171" t="s">
        <v>5938</v>
      </c>
    </row>
    <row r="172" spans="1:2">
      <c r="A172" t="s">
        <v>6592</v>
      </c>
      <c r="B172" t="s">
        <v>6593</v>
      </c>
    </row>
    <row r="173" spans="1:2">
      <c r="A173" t="s">
        <v>6365</v>
      </c>
      <c r="B173" t="s">
        <v>6366</v>
      </c>
    </row>
    <row r="174" spans="1:2">
      <c r="A174" t="s">
        <v>6300</v>
      </c>
      <c r="B174" t="s">
        <v>6301</v>
      </c>
    </row>
    <row r="175" spans="1:2">
      <c r="A175" t="s">
        <v>5604</v>
      </c>
      <c r="B175" t="s">
        <v>5605</v>
      </c>
    </row>
    <row r="176" spans="1:2">
      <c r="A176" t="s">
        <v>6564</v>
      </c>
      <c r="B176" t="s">
        <v>6565</v>
      </c>
    </row>
    <row r="177" spans="1:2">
      <c r="A177" t="s">
        <v>5996</v>
      </c>
      <c r="B177" t="s">
        <v>5997</v>
      </c>
    </row>
    <row r="178" spans="1:2">
      <c r="A178" t="s">
        <v>5376</v>
      </c>
      <c r="B178" t="s">
        <v>5377</v>
      </c>
    </row>
    <row r="179" spans="1:2">
      <c r="A179" t="s">
        <v>5477</v>
      </c>
      <c r="B179" t="s">
        <v>5478</v>
      </c>
    </row>
    <row r="180" spans="1:2">
      <c r="A180" t="s">
        <v>6570</v>
      </c>
      <c r="B180" t="s">
        <v>6571</v>
      </c>
    </row>
    <row r="181" spans="1:2">
      <c r="A181" t="s">
        <v>6500</v>
      </c>
      <c r="B181" t="s">
        <v>6501</v>
      </c>
    </row>
    <row r="182" spans="1:2">
      <c r="A182" t="s">
        <v>5949</v>
      </c>
      <c r="B182" t="s">
        <v>5950</v>
      </c>
    </row>
    <row r="183" spans="1:2">
      <c r="A183" t="s">
        <v>5482</v>
      </c>
      <c r="B183" t="s">
        <v>5483</v>
      </c>
    </row>
    <row r="184" spans="1:2">
      <c r="A184" t="s">
        <v>5828</v>
      </c>
      <c r="B184" t="s">
        <v>5829</v>
      </c>
    </row>
    <row r="185" spans="1:2">
      <c r="A185" t="s">
        <v>5902</v>
      </c>
      <c r="B185" t="s">
        <v>5903</v>
      </c>
    </row>
    <row r="186" spans="1:2">
      <c r="A186" t="s">
        <v>5969</v>
      </c>
      <c r="B186" t="s">
        <v>5970</v>
      </c>
    </row>
    <row r="187" spans="1:2">
      <c r="A187" t="s">
        <v>8634</v>
      </c>
      <c r="B187" t="s">
        <v>8635</v>
      </c>
    </row>
    <row r="188" spans="1:2">
      <c r="A188" t="s">
        <v>5866</v>
      </c>
      <c r="B188" t="s">
        <v>5867</v>
      </c>
    </row>
    <row r="189" spans="1:2">
      <c r="A189" t="s">
        <v>5951</v>
      </c>
      <c r="B189" t="s">
        <v>5952</v>
      </c>
    </row>
    <row r="190" spans="1:2">
      <c r="A190" t="s">
        <v>5577</v>
      </c>
      <c r="B190" t="s">
        <v>5578</v>
      </c>
    </row>
    <row r="191" spans="1:2">
      <c r="A191" t="s">
        <v>5783</v>
      </c>
      <c r="B191" t="s">
        <v>5784</v>
      </c>
    </row>
    <row r="192" spans="1:2">
      <c r="A192" t="s">
        <v>6348</v>
      </c>
      <c r="B192" t="s">
        <v>6349</v>
      </c>
    </row>
    <row r="193" spans="1:2">
      <c r="A193" t="s">
        <v>5739</v>
      </c>
      <c r="B193" t="s">
        <v>5740</v>
      </c>
    </row>
    <row r="194" spans="1:2">
      <c r="A194" t="s">
        <v>5852</v>
      </c>
      <c r="B194" t="s">
        <v>5853</v>
      </c>
    </row>
    <row r="195" spans="1:2">
      <c r="A195" t="s">
        <v>6221</v>
      </c>
      <c r="B195" t="s">
        <v>6222</v>
      </c>
    </row>
    <row r="196" spans="1:2">
      <c r="A196" t="s">
        <v>6358</v>
      </c>
      <c r="B196" t="s">
        <v>6359</v>
      </c>
    </row>
    <row r="197" spans="1:2">
      <c r="A197" t="s">
        <v>5971</v>
      </c>
      <c r="B197" t="s">
        <v>5972</v>
      </c>
    </row>
    <row r="198" spans="1:2">
      <c r="A198" t="s">
        <v>6026</v>
      </c>
      <c r="B198" t="s">
        <v>6027</v>
      </c>
    </row>
    <row r="199" spans="1:2">
      <c r="A199" t="s">
        <v>5504</v>
      </c>
      <c r="B199" t="s">
        <v>5505</v>
      </c>
    </row>
    <row r="200" spans="1:2">
      <c r="A200" t="s">
        <v>5632</v>
      </c>
      <c r="B200" t="s">
        <v>5633</v>
      </c>
    </row>
    <row r="201" spans="1:2">
      <c r="A201" t="s">
        <v>5591</v>
      </c>
      <c r="B201" t="s">
        <v>5592</v>
      </c>
    </row>
    <row r="202" spans="1:2">
      <c r="A202" t="s">
        <v>5657</v>
      </c>
      <c r="B202" t="s">
        <v>5658</v>
      </c>
    </row>
    <row r="203" spans="1:2">
      <c r="A203" t="s">
        <v>5502</v>
      </c>
      <c r="B203" t="s">
        <v>5503</v>
      </c>
    </row>
    <row r="204" spans="1:2">
      <c r="A204" t="s">
        <v>6578</v>
      </c>
      <c r="B204" t="s">
        <v>6579</v>
      </c>
    </row>
    <row r="205" spans="1:2">
      <c r="A205" t="s">
        <v>6219</v>
      </c>
      <c r="B205" t="s">
        <v>6220</v>
      </c>
    </row>
    <row r="206" spans="1:2">
      <c r="A206" t="s">
        <v>5820</v>
      </c>
      <c r="B206" t="s">
        <v>5821</v>
      </c>
    </row>
    <row r="207" spans="1:2">
      <c r="A207" t="s">
        <v>6460</v>
      </c>
      <c r="B207" t="s">
        <v>6461</v>
      </c>
    </row>
    <row r="208" spans="1:2">
      <c r="A208" t="s">
        <v>5981</v>
      </c>
      <c r="B208" t="s">
        <v>5982</v>
      </c>
    </row>
    <row r="209" spans="1:2">
      <c r="A209" t="s">
        <v>5929</v>
      </c>
      <c r="B209" t="s">
        <v>5930</v>
      </c>
    </row>
    <row r="210" spans="1:2">
      <c r="A210" t="s">
        <v>5687</v>
      </c>
      <c r="B210" t="s">
        <v>9094</v>
      </c>
    </row>
    <row r="211" spans="1:2">
      <c r="A211" t="s">
        <v>6350</v>
      </c>
      <c r="B211" t="s">
        <v>6351</v>
      </c>
    </row>
    <row r="212" spans="1:2">
      <c r="A212" t="s">
        <v>5753</v>
      </c>
      <c r="B212" t="s">
        <v>5754</v>
      </c>
    </row>
    <row r="213" spans="1:2">
      <c r="A213" t="s">
        <v>5886</v>
      </c>
      <c r="B213" t="s">
        <v>5887</v>
      </c>
    </row>
    <row r="214" spans="1:2">
      <c r="A214" t="s">
        <v>5770</v>
      </c>
      <c r="B214" t="s">
        <v>5771</v>
      </c>
    </row>
    <row r="215" spans="1:2">
      <c r="A215" t="s">
        <v>6486</v>
      </c>
      <c r="B215" t="s">
        <v>6487</v>
      </c>
    </row>
    <row r="216" spans="1:2">
      <c r="A216" t="s">
        <v>6576</v>
      </c>
      <c r="B216" t="s">
        <v>6577</v>
      </c>
    </row>
    <row r="217" spans="1:2">
      <c r="A217" t="s">
        <v>5762</v>
      </c>
      <c r="B217" t="s">
        <v>5763</v>
      </c>
    </row>
    <row r="218" spans="1:2">
      <c r="A218" t="s">
        <v>5619</v>
      </c>
      <c r="B218" t="s">
        <v>5620</v>
      </c>
    </row>
    <row r="219" spans="1:2">
      <c r="A219" t="s">
        <v>5480</v>
      </c>
      <c r="B219" t="s">
        <v>5481</v>
      </c>
    </row>
    <row r="220" spans="1:2">
      <c r="A220" t="s">
        <v>5668</v>
      </c>
      <c r="B220" t="s">
        <v>5669</v>
      </c>
    </row>
    <row r="221" spans="1:2">
      <c r="A221" t="s">
        <v>5689</v>
      </c>
      <c r="B221" t="s">
        <v>5690</v>
      </c>
    </row>
    <row r="222" spans="1:2">
      <c r="A222" t="s">
        <v>6551</v>
      </c>
      <c r="B222" t="s">
        <v>6552</v>
      </c>
    </row>
    <row r="223" spans="1:2">
      <c r="A223" t="s">
        <v>5701</v>
      </c>
      <c r="B223" t="s">
        <v>5702</v>
      </c>
    </row>
    <row r="224" spans="1:2">
      <c r="A224" t="s">
        <v>6504</v>
      </c>
      <c r="B224" t="s">
        <v>6505</v>
      </c>
    </row>
    <row r="225" spans="1:2">
      <c r="A225" t="s">
        <v>5994</v>
      </c>
      <c r="B225" t="s">
        <v>5995</v>
      </c>
    </row>
    <row r="226" spans="1:2">
      <c r="A226" t="s">
        <v>6426</v>
      </c>
      <c r="B226" t="s">
        <v>6427</v>
      </c>
    </row>
    <row r="227" spans="1:2">
      <c r="A227" t="s">
        <v>6352</v>
      </c>
      <c r="B227" t="s">
        <v>6353</v>
      </c>
    </row>
    <row r="228" spans="1:2">
      <c r="A228" t="s">
        <v>5432</v>
      </c>
      <c r="B228" t="s">
        <v>5433</v>
      </c>
    </row>
    <row r="229" spans="1:2">
      <c r="A229" t="s">
        <v>6590</v>
      </c>
      <c r="B229" t="s">
        <v>6591</v>
      </c>
    </row>
    <row r="230" spans="1:2">
      <c r="A230" t="s">
        <v>6323</v>
      </c>
      <c r="B230" t="s">
        <v>6324</v>
      </c>
    </row>
    <row r="231" spans="1:2">
      <c r="A231" t="s">
        <v>5848</v>
      </c>
      <c r="B231" t="s">
        <v>5849</v>
      </c>
    </row>
    <row r="232" spans="1:2">
      <c r="A232" t="s">
        <v>5776</v>
      </c>
      <c r="B232" t="s">
        <v>8622</v>
      </c>
    </row>
    <row r="233" spans="1:2">
      <c r="A233" t="s">
        <v>6515</v>
      </c>
      <c r="B233" t="s">
        <v>6516</v>
      </c>
    </row>
    <row r="234" spans="1:2">
      <c r="A234" t="s">
        <v>5824</v>
      </c>
      <c r="B234" t="s">
        <v>5825</v>
      </c>
    </row>
    <row r="235" spans="1:2">
      <c r="A235" t="s">
        <v>6149</v>
      </c>
      <c r="B235" t="s">
        <v>6150</v>
      </c>
    </row>
    <row r="236" spans="1:2">
      <c r="A236" t="s">
        <v>5543</v>
      </c>
      <c r="B236" t="s">
        <v>5544</v>
      </c>
    </row>
    <row r="237" spans="1:2">
      <c r="A237" t="s">
        <v>6546</v>
      </c>
      <c r="B237" t="s">
        <v>6547</v>
      </c>
    </row>
    <row r="238" spans="1:2">
      <c r="A238" t="s">
        <v>6288</v>
      </c>
      <c r="B238" t="s">
        <v>9517</v>
      </c>
    </row>
    <row r="239" spans="1:2">
      <c r="A239" t="s">
        <v>5510</v>
      </c>
      <c r="B239" t="s">
        <v>5511</v>
      </c>
    </row>
    <row r="240" spans="1:2">
      <c r="A240" t="s">
        <v>6002</v>
      </c>
      <c r="B240" t="s">
        <v>6003</v>
      </c>
    </row>
    <row r="241" spans="1:2">
      <c r="A241" t="s">
        <v>6332</v>
      </c>
      <c r="B241" t="s">
        <v>6333</v>
      </c>
    </row>
    <row r="242" spans="1:2">
      <c r="A242" t="s">
        <v>6127</v>
      </c>
      <c r="B242" t="s">
        <v>6128</v>
      </c>
    </row>
    <row r="243" spans="1:2">
      <c r="A243" t="s">
        <v>5774</v>
      </c>
      <c r="B243" t="s">
        <v>5775</v>
      </c>
    </row>
    <row r="244" spans="1:2">
      <c r="A244" t="s">
        <v>6469</v>
      </c>
      <c r="B244" t="s">
        <v>6470</v>
      </c>
    </row>
    <row r="245" spans="1:2">
      <c r="A245" t="s">
        <v>5530</v>
      </c>
      <c r="B245" t="s">
        <v>5531</v>
      </c>
    </row>
    <row r="246" spans="1:2">
      <c r="A246" t="s">
        <v>5583</v>
      </c>
      <c r="B246" t="s">
        <v>5584</v>
      </c>
    </row>
    <row r="247" spans="1:2">
      <c r="A247" t="s">
        <v>5801</v>
      </c>
      <c r="B247" t="s">
        <v>5802</v>
      </c>
    </row>
    <row r="248" spans="1:2">
      <c r="A248" t="s">
        <v>6157</v>
      </c>
      <c r="B248" t="s">
        <v>6158</v>
      </c>
    </row>
    <row r="249" spans="1:2">
      <c r="A249" t="s">
        <v>5608</v>
      </c>
      <c r="B249" t="s">
        <v>5609</v>
      </c>
    </row>
    <row r="250" spans="1:2">
      <c r="A250" t="s">
        <v>5695</v>
      </c>
      <c r="B250" t="s">
        <v>9108</v>
      </c>
    </row>
    <row r="251" spans="1:2">
      <c r="A251" t="s">
        <v>5653</v>
      </c>
      <c r="B251" t="s">
        <v>5654</v>
      </c>
    </row>
    <row r="252" spans="1:2">
      <c r="A252" t="s">
        <v>5409</v>
      </c>
      <c r="B252" t="s">
        <v>5410</v>
      </c>
    </row>
    <row r="253" spans="1:2">
      <c r="A253" t="s">
        <v>6527</v>
      </c>
      <c r="B253" t="s">
        <v>6528</v>
      </c>
    </row>
    <row r="254" spans="1:2">
      <c r="A254" t="s">
        <v>6109</v>
      </c>
      <c r="B254" t="s">
        <v>6110</v>
      </c>
    </row>
    <row r="255" spans="1:2">
      <c r="A255" t="s">
        <v>5810</v>
      </c>
      <c r="B255" t="s">
        <v>5811</v>
      </c>
    </row>
    <row r="256" spans="1:2">
      <c r="A256" t="s">
        <v>5914</v>
      </c>
      <c r="B256" t="s">
        <v>8948</v>
      </c>
    </row>
    <row r="257" spans="1:2">
      <c r="A257" t="s">
        <v>6340</v>
      </c>
      <c r="B257" t="s">
        <v>6341</v>
      </c>
    </row>
    <row r="258" spans="1:2">
      <c r="A258" t="s">
        <v>6394</v>
      </c>
      <c r="B258" t="s">
        <v>6395</v>
      </c>
    </row>
    <row r="259" spans="1:2">
      <c r="A259" t="s">
        <v>5443</v>
      </c>
      <c r="B259" t="s">
        <v>5444</v>
      </c>
    </row>
    <row r="260" spans="1:2">
      <c r="A260" t="s">
        <v>5884</v>
      </c>
      <c r="B260" t="s">
        <v>5885</v>
      </c>
    </row>
    <row r="261" spans="1:2">
      <c r="A261" t="s">
        <v>6979</v>
      </c>
      <c r="B261" t="s">
        <v>6980</v>
      </c>
    </row>
    <row r="262" spans="1:2">
      <c r="A262" t="s">
        <v>5678</v>
      </c>
      <c r="B262" t="s">
        <v>5679</v>
      </c>
    </row>
    <row r="263" spans="1:2">
      <c r="A263" t="s">
        <v>8472</v>
      </c>
      <c r="B263" t="s">
        <v>8473</v>
      </c>
    </row>
    <row r="264" spans="1:2">
      <c r="A264" t="s">
        <v>6415</v>
      </c>
      <c r="B264" t="s">
        <v>6416</v>
      </c>
    </row>
    <row r="265" spans="1:2">
      <c r="A265" t="s">
        <v>6499</v>
      </c>
      <c r="B265" t="s">
        <v>9614</v>
      </c>
    </row>
    <row r="266" spans="1:2">
      <c r="A266" t="s">
        <v>5797</v>
      </c>
      <c r="B266" t="s">
        <v>5798</v>
      </c>
    </row>
    <row r="267" spans="1:2">
      <c r="A267" t="s">
        <v>5731</v>
      </c>
      <c r="B267" t="s">
        <v>5732</v>
      </c>
    </row>
    <row r="268" spans="1:2">
      <c r="A268" t="s">
        <v>5514</v>
      </c>
      <c r="B268" t="s">
        <v>5515</v>
      </c>
    </row>
    <row r="269" spans="1:2">
      <c r="A269" t="s">
        <v>5528</v>
      </c>
      <c r="B269" t="s">
        <v>5529</v>
      </c>
    </row>
    <row r="270" spans="1:2">
      <c r="A270" t="s">
        <v>9034</v>
      </c>
      <c r="B270" t="s">
        <v>9035</v>
      </c>
    </row>
    <row r="271" spans="1:2">
      <c r="A271" t="s">
        <v>6977</v>
      </c>
      <c r="B271" t="s">
        <v>6978</v>
      </c>
    </row>
    <row r="272" spans="1:2">
      <c r="A272" t="s">
        <v>5793</v>
      </c>
      <c r="B272" t="s">
        <v>5794</v>
      </c>
    </row>
    <row r="273" spans="1:2">
      <c r="A273" t="s">
        <v>5890</v>
      </c>
      <c r="B273" t="s">
        <v>5891</v>
      </c>
    </row>
    <row r="274" spans="1:2">
      <c r="A274" t="s">
        <v>6096</v>
      </c>
      <c r="B274" t="s">
        <v>6097</v>
      </c>
    </row>
    <row r="275" spans="1:2">
      <c r="A275" t="s">
        <v>5768</v>
      </c>
      <c r="B275" t="s">
        <v>5769</v>
      </c>
    </row>
    <row r="276" spans="1:2">
      <c r="A276" t="s">
        <v>5998</v>
      </c>
      <c r="B276" t="s">
        <v>5999</v>
      </c>
    </row>
    <row r="277" spans="1:2">
      <c r="A277" t="s">
        <v>5493</v>
      </c>
      <c r="B277" t="s">
        <v>9525</v>
      </c>
    </row>
    <row r="278" spans="1:2">
      <c r="A278" t="s">
        <v>7046</v>
      </c>
      <c r="B278" t="s">
        <v>7047</v>
      </c>
    </row>
    <row r="279" spans="1:2">
      <c r="A279" t="s">
        <v>6477</v>
      </c>
      <c r="B279" t="s">
        <v>6478</v>
      </c>
    </row>
    <row r="280" spans="1:2">
      <c r="A280" t="s">
        <v>6111</v>
      </c>
      <c r="B280" t="s">
        <v>6112</v>
      </c>
    </row>
    <row r="281" spans="1:2">
      <c r="A281" t="s">
        <v>6074</v>
      </c>
      <c r="B281" t="s">
        <v>6075</v>
      </c>
    </row>
    <row r="282" spans="1:2">
      <c r="A282" t="s">
        <v>6177</v>
      </c>
      <c r="B282" t="s">
        <v>6178</v>
      </c>
    </row>
    <row r="283" spans="1:2">
      <c r="A283" t="s">
        <v>5418</v>
      </c>
      <c r="B283" t="s">
        <v>5419</v>
      </c>
    </row>
    <row r="284" spans="1:2">
      <c r="A284" t="s">
        <v>5766</v>
      </c>
      <c r="B284" t="s">
        <v>5767</v>
      </c>
    </row>
    <row r="285" spans="1:2">
      <c r="A285" t="s">
        <v>5733</v>
      </c>
      <c r="B285" t="s">
        <v>5734</v>
      </c>
    </row>
    <row r="286" spans="1:2">
      <c r="A286" t="s">
        <v>5751</v>
      </c>
      <c r="B286" t="s">
        <v>5752</v>
      </c>
    </row>
    <row r="287" spans="1:2">
      <c r="A287" t="s">
        <v>6101</v>
      </c>
      <c r="B287" t="s">
        <v>6102</v>
      </c>
    </row>
    <row r="288" spans="1:2">
      <c r="A288" t="s">
        <v>5627</v>
      </c>
      <c r="B288" t="s">
        <v>9071</v>
      </c>
    </row>
    <row r="289" spans="1:2">
      <c r="A289" t="s">
        <v>6252</v>
      </c>
      <c r="B289" t="s">
        <v>6253</v>
      </c>
    </row>
    <row r="290" spans="1:2">
      <c r="A290" t="s">
        <v>5638</v>
      </c>
      <c r="B290" t="s">
        <v>5639</v>
      </c>
    </row>
    <row r="291" spans="1:2">
      <c r="A291" t="s">
        <v>6273</v>
      </c>
      <c r="B291" t="s">
        <v>9309</v>
      </c>
    </row>
    <row r="292" spans="1:2">
      <c r="A292" t="s">
        <v>6080</v>
      </c>
      <c r="B292" t="s">
        <v>6081</v>
      </c>
    </row>
    <row r="293" spans="1:2">
      <c r="A293" t="s">
        <v>5888</v>
      </c>
      <c r="B293" t="s">
        <v>8672</v>
      </c>
    </row>
    <row r="294" spans="1:2">
      <c r="A294" t="s">
        <v>8558</v>
      </c>
      <c r="B294" t="s">
        <v>8559</v>
      </c>
    </row>
    <row r="295" spans="1:2">
      <c r="A295" t="s">
        <v>5606</v>
      </c>
      <c r="B295" t="s">
        <v>5607</v>
      </c>
    </row>
    <row r="296" spans="1:2">
      <c r="A296" t="s">
        <v>5918</v>
      </c>
      <c r="B296" t="s">
        <v>5919</v>
      </c>
    </row>
    <row r="297" spans="1:2">
      <c r="A297" t="s">
        <v>6550</v>
      </c>
      <c r="B297" t="s">
        <v>9561</v>
      </c>
    </row>
    <row r="298" spans="1:2">
      <c r="A298" t="s">
        <v>5469</v>
      </c>
      <c r="B298" t="s">
        <v>5470</v>
      </c>
    </row>
    <row r="299" spans="1:2">
      <c r="A299" t="s">
        <v>9020</v>
      </c>
      <c r="B299" t="s">
        <v>9021</v>
      </c>
    </row>
    <row r="300" spans="1:2">
      <c r="A300" t="s">
        <v>5405</v>
      </c>
      <c r="B300" t="s">
        <v>5406</v>
      </c>
    </row>
    <row r="301" spans="1:2">
      <c r="A301" t="s">
        <v>5807</v>
      </c>
      <c r="B301" t="s">
        <v>5808</v>
      </c>
    </row>
    <row r="302" spans="1:2">
      <c r="A302" t="s">
        <v>5420</v>
      </c>
      <c r="B302" t="s">
        <v>9015</v>
      </c>
    </row>
    <row r="303" spans="1:2">
      <c r="A303" t="s">
        <v>7049</v>
      </c>
      <c r="B303" t="s">
        <v>7050</v>
      </c>
    </row>
    <row r="304" spans="1:2">
      <c r="A304" t="s">
        <v>6278</v>
      </c>
      <c r="B304" t="s">
        <v>6279</v>
      </c>
    </row>
    <row r="305" spans="1:2">
      <c r="A305" t="s">
        <v>6025</v>
      </c>
      <c r="B305" t="s">
        <v>8708</v>
      </c>
    </row>
    <row r="306" spans="1:2">
      <c r="A306" t="s">
        <v>6473</v>
      </c>
      <c r="B306" t="s">
        <v>6474</v>
      </c>
    </row>
    <row r="307" spans="1:2">
      <c r="A307" t="s">
        <v>6306</v>
      </c>
      <c r="B307" t="s">
        <v>6307</v>
      </c>
    </row>
    <row r="308" spans="1:2">
      <c r="A308" t="s">
        <v>6016</v>
      </c>
      <c r="B308" t="s">
        <v>8671</v>
      </c>
    </row>
    <row r="309" spans="1:2">
      <c r="A309" t="s">
        <v>5494</v>
      </c>
      <c r="B309" t="s">
        <v>5495</v>
      </c>
    </row>
    <row r="310" spans="1:2">
      <c r="A310" t="s">
        <v>8474</v>
      </c>
      <c r="B310" t="s">
        <v>8475</v>
      </c>
    </row>
    <row r="311" spans="1:2">
      <c r="A311" t="s">
        <v>5314</v>
      </c>
      <c r="B311" t="s">
        <v>5315</v>
      </c>
    </row>
    <row r="312" spans="1:2">
      <c r="A312" t="s">
        <v>5617</v>
      </c>
      <c r="B312" t="s">
        <v>5618</v>
      </c>
    </row>
    <row r="313" spans="1:2">
      <c r="A313" t="s">
        <v>6133</v>
      </c>
      <c r="B313" t="s">
        <v>6134</v>
      </c>
    </row>
    <row r="314" spans="1:2">
      <c r="A314" t="s">
        <v>5465</v>
      </c>
      <c r="B314" t="s">
        <v>5466</v>
      </c>
    </row>
    <row r="315" spans="1:2">
      <c r="A315" t="s">
        <v>6131</v>
      </c>
      <c r="B315" t="s">
        <v>6132</v>
      </c>
    </row>
    <row r="316" spans="1:2">
      <c r="A316" t="s">
        <v>5709</v>
      </c>
      <c r="B316" t="s">
        <v>5710</v>
      </c>
    </row>
    <row r="317" spans="1:2">
      <c r="A317" t="s">
        <v>5757</v>
      </c>
      <c r="B317" t="s">
        <v>5758</v>
      </c>
    </row>
    <row r="318" spans="1:2">
      <c r="A318" t="s">
        <v>5910</v>
      </c>
      <c r="B318" t="s">
        <v>5911</v>
      </c>
    </row>
    <row r="319" spans="1:2">
      <c r="A319" t="s">
        <v>6183</v>
      </c>
      <c r="B319" t="s">
        <v>6184</v>
      </c>
    </row>
    <row r="320" spans="1:2">
      <c r="A320" t="s">
        <v>5421</v>
      </c>
      <c r="B320" t="s">
        <v>5422</v>
      </c>
    </row>
    <row r="321" spans="1:2">
      <c r="A321" t="s">
        <v>6044</v>
      </c>
      <c r="B321" t="s">
        <v>6045</v>
      </c>
    </row>
    <row r="322" spans="1:2">
      <c r="A322" t="s">
        <v>6151</v>
      </c>
      <c r="B322" t="s">
        <v>6152</v>
      </c>
    </row>
    <row r="323" spans="1:2">
      <c r="A323" t="s">
        <v>6523</v>
      </c>
      <c r="B323" t="s">
        <v>6524</v>
      </c>
    </row>
    <row r="324" spans="1:2">
      <c r="A324" t="s">
        <v>6490</v>
      </c>
      <c r="B324" t="s">
        <v>9622</v>
      </c>
    </row>
    <row r="325" spans="1:2">
      <c r="A325" t="s">
        <v>5500</v>
      </c>
      <c r="B325" t="s">
        <v>5501</v>
      </c>
    </row>
    <row r="326" spans="1:2">
      <c r="A326" t="s">
        <v>6447</v>
      </c>
      <c r="B326" t="s">
        <v>6448</v>
      </c>
    </row>
    <row r="327" spans="1:2">
      <c r="A327" t="s">
        <v>5647</v>
      </c>
      <c r="B327" t="s">
        <v>5648</v>
      </c>
    </row>
    <row r="328" spans="1:2">
      <c r="A328" t="s">
        <v>5386</v>
      </c>
      <c r="B328" t="s">
        <v>5387</v>
      </c>
    </row>
    <row r="329" spans="1:2">
      <c r="A329" t="s">
        <v>5368</v>
      </c>
      <c r="B329" t="s">
        <v>5369</v>
      </c>
    </row>
    <row r="330" spans="1:2">
      <c r="A330" t="s">
        <v>5799</v>
      </c>
      <c r="B330" t="s">
        <v>5800</v>
      </c>
    </row>
    <row r="331" spans="1:2">
      <c r="A331" t="s">
        <v>6032</v>
      </c>
      <c r="B331" t="s">
        <v>6033</v>
      </c>
    </row>
    <row r="332" spans="1:2">
      <c r="A332" t="s">
        <v>6082</v>
      </c>
      <c r="B332" t="s">
        <v>6083</v>
      </c>
    </row>
    <row r="333" spans="1:2">
      <c r="A333" t="s">
        <v>5523</v>
      </c>
      <c r="B333" t="s">
        <v>5524</v>
      </c>
    </row>
    <row r="334" spans="1:2">
      <c r="A334" t="s">
        <v>5987</v>
      </c>
      <c r="B334" t="s">
        <v>5988</v>
      </c>
    </row>
    <row r="335" spans="1:2">
      <c r="A335" t="s">
        <v>6451</v>
      </c>
      <c r="B335" t="s">
        <v>6452</v>
      </c>
    </row>
    <row r="336" spans="1:2">
      <c r="A336" t="s">
        <v>6005</v>
      </c>
      <c r="B336" t="s">
        <v>6006</v>
      </c>
    </row>
    <row r="337" spans="1:2">
      <c r="A337" t="s">
        <v>5393</v>
      </c>
      <c r="B337" t="s">
        <v>5394</v>
      </c>
    </row>
    <row r="338" spans="1:2">
      <c r="A338" t="s">
        <v>5812</v>
      </c>
      <c r="B338" t="s">
        <v>5813</v>
      </c>
    </row>
    <row r="339" spans="1:2">
      <c r="A339" t="s">
        <v>6298</v>
      </c>
      <c r="B339" t="s">
        <v>6299</v>
      </c>
    </row>
    <row r="340" spans="1:2">
      <c r="A340" t="s">
        <v>5534</v>
      </c>
      <c r="B340" t="s">
        <v>5535</v>
      </c>
    </row>
    <row r="341" spans="1:2">
      <c r="A341" t="s">
        <v>6302</v>
      </c>
      <c r="B341" t="s">
        <v>6303</v>
      </c>
    </row>
    <row r="342" spans="1:2">
      <c r="A342" t="s">
        <v>6465</v>
      </c>
      <c r="B342" t="s">
        <v>6466</v>
      </c>
    </row>
    <row r="343" spans="1:2">
      <c r="A343" t="s">
        <v>6417</v>
      </c>
      <c r="B343" t="s">
        <v>6418</v>
      </c>
    </row>
    <row r="344" spans="1:2">
      <c r="A344" t="s">
        <v>5356</v>
      </c>
      <c r="B344" t="s">
        <v>5357</v>
      </c>
    </row>
    <row r="345" spans="1:2">
      <c r="A345" t="s">
        <v>6488</v>
      </c>
      <c r="B345" t="s">
        <v>6489</v>
      </c>
    </row>
    <row r="346" spans="1:2">
      <c r="A346" t="s">
        <v>5868</v>
      </c>
      <c r="B346" t="s">
        <v>5869</v>
      </c>
    </row>
    <row r="347" spans="1:2">
      <c r="A347" t="s">
        <v>5840</v>
      </c>
      <c r="B347" t="s">
        <v>5841</v>
      </c>
    </row>
    <row r="348" spans="1:2">
      <c r="A348" t="s">
        <v>6512</v>
      </c>
      <c r="B348" t="s">
        <v>9602</v>
      </c>
    </row>
    <row r="349" spans="1:2">
      <c r="A349" t="s">
        <v>5672</v>
      </c>
      <c r="B349" t="s">
        <v>5673</v>
      </c>
    </row>
    <row r="350" spans="1:2">
      <c r="A350" t="s">
        <v>5785</v>
      </c>
      <c r="B350" t="s">
        <v>5786</v>
      </c>
    </row>
    <row r="351" spans="1:2">
      <c r="A351" t="s">
        <v>6256</v>
      </c>
      <c r="B351" t="s">
        <v>6257</v>
      </c>
    </row>
    <row r="352" spans="1:2">
      <c r="A352" t="s">
        <v>5623</v>
      </c>
      <c r="B352" t="s">
        <v>5624</v>
      </c>
    </row>
    <row r="353" spans="1:2">
      <c r="A353" t="s">
        <v>5844</v>
      </c>
      <c r="B353" t="s">
        <v>5845</v>
      </c>
    </row>
    <row r="354" spans="1:2">
      <c r="A354" t="s">
        <v>5699</v>
      </c>
      <c r="B354" t="s">
        <v>5700</v>
      </c>
    </row>
    <row r="355" spans="1:2">
      <c r="A355" t="s">
        <v>5388</v>
      </c>
      <c r="B355" t="s">
        <v>9329</v>
      </c>
    </row>
    <row r="356" spans="1:2">
      <c r="A356" t="s">
        <v>6464</v>
      </c>
      <c r="B356" t="s">
        <v>9618</v>
      </c>
    </row>
    <row r="357" spans="1:2">
      <c r="A357" t="s">
        <v>6086</v>
      </c>
      <c r="B357" t="s">
        <v>6087</v>
      </c>
    </row>
    <row r="358" spans="1:2">
      <c r="A358" t="s">
        <v>6422</v>
      </c>
      <c r="B358" t="s">
        <v>6423</v>
      </c>
    </row>
    <row r="359" spans="1:2">
      <c r="A359" t="s">
        <v>6217</v>
      </c>
      <c r="B359" t="s">
        <v>6218</v>
      </c>
    </row>
    <row r="360" spans="1:2">
      <c r="A360" t="s">
        <v>6430</v>
      </c>
      <c r="B360" t="s">
        <v>6431</v>
      </c>
    </row>
    <row r="361" spans="1:2">
      <c r="A361" t="s">
        <v>5440</v>
      </c>
      <c r="B361" t="s">
        <v>9336</v>
      </c>
    </row>
    <row r="362" spans="1:2">
      <c r="A362" t="s">
        <v>5380</v>
      </c>
      <c r="B362" t="s">
        <v>5381</v>
      </c>
    </row>
    <row r="363" spans="1:2">
      <c r="A363" t="s">
        <v>5805</v>
      </c>
      <c r="B363" t="s">
        <v>5806</v>
      </c>
    </row>
    <row r="364" spans="1:2">
      <c r="A364" t="s">
        <v>5573</v>
      </c>
      <c r="B364" t="s">
        <v>5574</v>
      </c>
    </row>
    <row r="365" spans="1:2">
      <c r="A365" t="s">
        <v>6544</v>
      </c>
      <c r="B365" t="s">
        <v>6545</v>
      </c>
    </row>
    <row r="366" spans="1:2">
      <c r="A366" t="s">
        <v>6038</v>
      </c>
      <c r="B366" t="s">
        <v>6039</v>
      </c>
    </row>
    <row r="367" spans="1:2">
      <c r="A367" t="s">
        <v>9372</v>
      </c>
      <c r="B367" t="s">
        <v>9373</v>
      </c>
    </row>
    <row r="368" spans="1:2">
      <c r="A368" t="s">
        <v>5395</v>
      </c>
      <c r="B368" t="s">
        <v>5396</v>
      </c>
    </row>
    <row r="369" spans="1:2">
      <c r="A369" t="s">
        <v>6107</v>
      </c>
      <c r="B369" t="s">
        <v>6108</v>
      </c>
    </row>
    <row r="370" spans="1:2">
      <c r="A370" t="s">
        <v>6199</v>
      </c>
      <c r="B370" t="s">
        <v>6200</v>
      </c>
    </row>
    <row r="371" spans="1:2">
      <c r="A371" t="s">
        <v>6091</v>
      </c>
      <c r="B371" t="s">
        <v>9374</v>
      </c>
    </row>
    <row r="372" spans="1:2">
      <c r="A372" t="s">
        <v>6495</v>
      </c>
      <c r="B372" t="s">
        <v>6496</v>
      </c>
    </row>
    <row r="373" spans="1:2">
      <c r="A373" t="s">
        <v>6428</v>
      </c>
      <c r="B373" t="s">
        <v>6429</v>
      </c>
    </row>
    <row r="374" spans="1:2">
      <c r="A374" t="s">
        <v>6534</v>
      </c>
      <c r="B374" t="s">
        <v>6535</v>
      </c>
    </row>
    <row r="375" spans="1:2">
      <c r="A375" t="s">
        <v>6531</v>
      </c>
      <c r="B375" t="s">
        <v>6532</v>
      </c>
    </row>
    <row r="376" spans="1:2">
      <c r="A376" t="s">
        <v>6314</v>
      </c>
      <c r="B376" t="s">
        <v>6315</v>
      </c>
    </row>
    <row r="377" spans="1:2">
      <c r="A377" t="s">
        <v>5613</v>
      </c>
      <c r="B377" t="s">
        <v>5614</v>
      </c>
    </row>
    <row r="378" spans="1:2">
      <c r="A378" t="s">
        <v>6209</v>
      </c>
      <c r="B378" t="s">
        <v>6210</v>
      </c>
    </row>
    <row r="379" spans="1:2">
      <c r="A379" t="s">
        <v>6034</v>
      </c>
      <c r="B379" t="s">
        <v>6035</v>
      </c>
    </row>
    <row r="380" spans="1:2">
      <c r="A380" t="s">
        <v>5862</v>
      </c>
      <c r="B380" t="s">
        <v>5863</v>
      </c>
    </row>
    <row r="381" spans="1:2">
      <c r="A381" t="s">
        <v>5666</v>
      </c>
      <c r="B381" t="s">
        <v>5667</v>
      </c>
    </row>
    <row r="382" spans="1:2">
      <c r="A382" t="s">
        <v>5358</v>
      </c>
      <c r="B382" t="s">
        <v>5359</v>
      </c>
    </row>
    <row r="383" spans="1:2">
      <c r="A383" t="s">
        <v>5445</v>
      </c>
      <c r="B383" t="s">
        <v>5446</v>
      </c>
    </row>
    <row r="384" spans="1:2">
      <c r="A384" t="s">
        <v>6113</v>
      </c>
      <c r="B384" t="s">
        <v>6114</v>
      </c>
    </row>
    <row r="385" spans="1:2">
      <c r="A385" t="s">
        <v>6064</v>
      </c>
      <c r="B385" t="s">
        <v>6065</v>
      </c>
    </row>
    <row r="386" spans="1:2">
      <c r="A386" t="s">
        <v>5864</v>
      </c>
      <c r="B386" t="s">
        <v>5865</v>
      </c>
    </row>
    <row r="387" spans="1:2">
      <c r="A387" t="s">
        <v>6519</v>
      </c>
      <c r="B387" t="s">
        <v>6520</v>
      </c>
    </row>
    <row r="388" spans="1:2">
      <c r="A388" t="s">
        <v>6498</v>
      </c>
      <c r="B388" t="s">
        <v>8931</v>
      </c>
    </row>
    <row r="389" spans="1:2">
      <c r="A389" t="s">
        <v>5455</v>
      </c>
      <c r="B389" t="s">
        <v>5456</v>
      </c>
    </row>
    <row r="390" spans="1:2">
      <c r="A390" t="s">
        <v>5870</v>
      </c>
      <c r="B390" t="s">
        <v>5871</v>
      </c>
    </row>
    <row r="391" spans="1:2">
      <c r="A391" t="s">
        <v>6297</v>
      </c>
      <c r="B391" t="s">
        <v>8777</v>
      </c>
    </row>
    <row r="392" spans="1:2">
      <c r="A392" t="s">
        <v>5931</v>
      </c>
      <c r="B392" t="s">
        <v>5932</v>
      </c>
    </row>
    <row r="393" spans="1:2">
      <c r="A393" t="s">
        <v>6193</v>
      </c>
      <c r="B393" t="s">
        <v>6194</v>
      </c>
    </row>
    <row r="394" spans="1:2">
      <c r="A394" t="s">
        <v>6013</v>
      </c>
      <c r="B394" t="s">
        <v>6014</v>
      </c>
    </row>
    <row r="395" spans="1:2">
      <c r="A395" t="s">
        <v>5908</v>
      </c>
      <c r="B395" t="s">
        <v>5909</v>
      </c>
    </row>
    <row r="396" spans="1:2">
      <c r="A396" t="s">
        <v>5749</v>
      </c>
      <c r="B396" t="s">
        <v>5750</v>
      </c>
    </row>
    <row r="397" spans="1:2">
      <c r="A397" t="s">
        <v>5879</v>
      </c>
      <c r="B397" t="s">
        <v>8461</v>
      </c>
    </row>
    <row r="398" spans="1:2">
      <c r="A398" t="s">
        <v>6437</v>
      </c>
      <c r="B398" t="s">
        <v>6438</v>
      </c>
    </row>
    <row r="399" spans="1:2">
      <c r="A399" t="s">
        <v>5953</v>
      </c>
      <c r="B399" t="s">
        <v>5954</v>
      </c>
    </row>
    <row r="400" spans="1:2">
      <c r="A400" t="s">
        <v>6145</v>
      </c>
      <c r="B400" t="s">
        <v>6146</v>
      </c>
    </row>
    <row r="401" spans="1:2">
      <c r="A401" t="s">
        <v>6462</v>
      </c>
      <c r="B401" t="s">
        <v>6463</v>
      </c>
    </row>
    <row r="402" spans="1:2">
      <c r="A402" t="s">
        <v>6510</v>
      </c>
      <c r="B402" t="s">
        <v>6511</v>
      </c>
    </row>
    <row r="403" spans="1:2">
      <c r="A403" t="s">
        <v>5451</v>
      </c>
      <c r="B403" t="s">
        <v>5452</v>
      </c>
    </row>
    <row r="404" spans="1:2">
      <c r="A404" t="s">
        <v>6066</v>
      </c>
      <c r="B404" t="s">
        <v>6067</v>
      </c>
    </row>
    <row r="405" spans="1:2">
      <c r="A405" t="s">
        <v>6036</v>
      </c>
      <c r="B405" t="s">
        <v>6037</v>
      </c>
    </row>
    <row r="406" spans="1:2">
      <c r="A406" t="s">
        <v>5993</v>
      </c>
      <c r="B406" t="s">
        <v>9226</v>
      </c>
    </row>
    <row r="407" spans="1:2">
      <c r="A407" t="s">
        <v>6479</v>
      </c>
      <c r="B407" t="s">
        <v>8921</v>
      </c>
    </row>
    <row r="408" spans="1:2">
      <c r="A408" t="s">
        <v>6100</v>
      </c>
      <c r="B408" t="s">
        <v>9346</v>
      </c>
    </row>
    <row r="409" spans="1:2">
      <c r="A409" t="s">
        <v>6153</v>
      </c>
      <c r="B409" t="s">
        <v>8776</v>
      </c>
    </row>
    <row r="410" spans="1:2">
      <c r="A410" t="s">
        <v>5374</v>
      </c>
      <c r="B410" t="s">
        <v>5375</v>
      </c>
    </row>
    <row r="411" spans="1:2">
      <c r="A411" t="s">
        <v>6098</v>
      </c>
      <c r="B411" t="s">
        <v>6099</v>
      </c>
    </row>
    <row r="412" spans="1:2">
      <c r="A412" t="s">
        <v>6123</v>
      </c>
      <c r="B412" t="s">
        <v>8962</v>
      </c>
    </row>
    <row r="413" spans="1:2">
      <c r="A413" t="s">
        <v>6508</v>
      </c>
      <c r="B413" t="s">
        <v>6509</v>
      </c>
    </row>
    <row r="414" spans="1:2">
      <c r="A414" t="s">
        <v>5423</v>
      </c>
      <c r="B414" t="s">
        <v>5424</v>
      </c>
    </row>
    <row r="415" spans="1:2">
      <c r="A415" t="s">
        <v>5809</v>
      </c>
      <c r="B415" t="s">
        <v>9621</v>
      </c>
    </row>
    <row r="416" spans="1:2">
      <c r="A416" t="s">
        <v>6574</v>
      </c>
      <c r="B416" t="s">
        <v>6575</v>
      </c>
    </row>
    <row r="417" spans="1:2">
      <c r="A417" t="s">
        <v>6266</v>
      </c>
      <c r="B417" t="s">
        <v>6267</v>
      </c>
    </row>
    <row r="418" spans="1:2">
      <c r="A418" t="s">
        <v>5366</v>
      </c>
      <c r="B418" t="s">
        <v>5367</v>
      </c>
    </row>
    <row r="419" spans="1:2">
      <c r="A419" t="s">
        <v>6129</v>
      </c>
      <c r="B419" t="s">
        <v>6130</v>
      </c>
    </row>
    <row r="420" spans="1:2">
      <c r="A420" t="s">
        <v>6497</v>
      </c>
      <c r="B420" t="s">
        <v>8926</v>
      </c>
    </row>
    <row r="421" spans="1:2">
      <c r="A421" t="s">
        <v>6582</v>
      </c>
      <c r="B421" t="s">
        <v>6583</v>
      </c>
    </row>
    <row r="422" spans="1:2">
      <c r="A422" t="s">
        <v>5649</v>
      </c>
      <c r="B422" t="s">
        <v>5650</v>
      </c>
    </row>
    <row r="423" spans="1:2">
      <c r="A423" t="s">
        <v>6380</v>
      </c>
      <c r="B423" t="s">
        <v>6381</v>
      </c>
    </row>
    <row r="424" spans="1:2">
      <c r="A424" t="s">
        <v>6011</v>
      </c>
      <c r="B424" t="s">
        <v>6012</v>
      </c>
    </row>
    <row r="425" spans="1:2">
      <c r="A425" t="s">
        <v>5555</v>
      </c>
      <c r="B425" t="s">
        <v>5556</v>
      </c>
    </row>
    <row r="426" spans="1:2">
      <c r="A426" t="s">
        <v>6015</v>
      </c>
      <c r="B426" t="s">
        <v>9123</v>
      </c>
    </row>
    <row r="427" spans="1:2">
      <c r="A427" t="s">
        <v>5957</v>
      </c>
      <c r="B427" t="s">
        <v>5958</v>
      </c>
    </row>
    <row r="428" spans="1:2">
      <c r="A428" t="s">
        <v>6513</v>
      </c>
      <c r="B428" t="s">
        <v>6514</v>
      </c>
    </row>
    <row r="429" spans="1:2">
      <c r="A429" t="s">
        <v>5651</v>
      </c>
      <c r="B429" t="s">
        <v>5652</v>
      </c>
    </row>
    <row r="430" spans="1:2">
      <c r="A430" t="s">
        <v>8520</v>
      </c>
      <c r="B430" t="s">
        <v>8521</v>
      </c>
    </row>
    <row r="431" spans="1:2">
      <c r="A431" t="s">
        <v>6173</v>
      </c>
      <c r="B431" t="s">
        <v>6174</v>
      </c>
    </row>
    <row r="432" spans="1:2">
      <c r="A432" t="s">
        <v>6529</v>
      </c>
      <c r="B432" t="s">
        <v>6530</v>
      </c>
    </row>
    <row r="433" spans="1:2">
      <c r="A433" t="s">
        <v>5630</v>
      </c>
      <c r="B433" t="s">
        <v>5631</v>
      </c>
    </row>
    <row r="434" spans="1:2">
      <c r="A434" t="s">
        <v>5372</v>
      </c>
      <c r="B434" t="s">
        <v>5373</v>
      </c>
    </row>
    <row r="435" spans="1:2">
      <c r="A435" t="s">
        <v>5876</v>
      </c>
      <c r="B435" t="s">
        <v>8466</v>
      </c>
    </row>
    <row r="436" spans="1:2">
      <c r="A436" t="s">
        <v>6264</v>
      </c>
      <c r="B436" t="s">
        <v>6265</v>
      </c>
    </row>
    <row r="437" spans="1:2">
      <c r="A437" t="s">
        <v>5989</v>
      </c>
      <c r="B437" t="s">
        <v>5990</v>
      </c>
    </row>
    <row r="438" spans="1:2">
      <c r="A438" t="s">
        <v>6346</v>
      </c>
      <c r="B438" t="s">
        <v>6347</v>
      </c>
    </row>
    <row r="439" spans="1:2">
      <c r="A439" t="s">
        <v>9451</v>
      </c>
      <c r="B439" t="s">
        <v>9452</v>
      </c>
    </row>
    <row r="440" spans="1:2">
      <c r="A440" t="s">
        <v>6042</v>
      </c>
      <c r="B440" t="s">
        <v>6043</v>
      </c>
    </row>
    <row r="441" spans="1:2">
      <c r="A441" t="s">
        <v>7045</v>
      </c>
      <c r="B441" t="s">
        <v>9113</v>
      </c>
    </row>
    <row r="442" spans="1:2">
      <c r="A442" t="s">
        <v>5877</v>
      </c>
      <c r="B442" t="s">
        <v>5878</v>
      </c>
    </row>
    <row r="443" spans="1:2">
      <c r="A443" t="s">
        <v>5532</v>
      </c>
      <c r="B443" t="s">
        <v>5533</v>
      </c>
    </row>
    <row r="444" spans="1:2">
      <c r="A444" t="s">
        <v>5842</v>
      </c>
      <c r="B444" t="s">
        <v>5843</v>
      </c>
    </row>
    <row r="445" spans="1:2">
      <c r="A445" t="s">
        <v>5397</v>
      </c>
      <c r="B445" t="s">
        <v>5398</v>
      </c>
    </row>
    <row r="446" spans="1:2">
      <c r="A446" t="s">
        <v>5434</v>
      </c>
      <c r="B446" t="s">
        <v>5435</v>
      </c>
    </row>
    <row r="447" spans="1:2">
      <c r="A447" t="s">
        <v>6078</v>
      </c>
      <c r="B447" t="s">
        <v>6079</v>
      </c>
    </row>
    <row r="448" spans="1:2">
      <c r="A448" t="s">
        <v>6898</v>
      </c>
      <c r="B448" t="s">
        <v>6899</v>
      </c>
    </row>
    <row r="449" spans="1:2">
      <c r="A449" t="s">
        <v>5428</v>
      </c>
      <c r="B449" t="s">
        <v>5429</v>
      </c>
    </row>
    <row r="450" spans="1:2">
      <c r="A450" t="s">
        <v>5384</v>
      </c>
      <c r="B450" t="s">
        <v>5385</v>
      </c>
    </row>
    <row r="451" spans="1:2">
      <c r="A451" t="s">
        <v>5722</v>
      </c>
      <c r="B451" t="s">
        <v>9524</v>
      </c>
    </row>
    <row r="452" spans="1:2">
      <c r="A452" t="s">
        <v>5920</v>
      </c>
      <c r="B452" t="s">
        <v>5921</v>
      </c>
    </row>
    <row r="453" spans="1:2">
      <c r="A453" t="s">
        <v>6084</v>
      </c>
      <c r="B453" t="s">
        <v>6085</v>
      </c>
    </row>
    <row r="454" spans="1:2">
      <c r="A454" t="s">
        <v>5764</v>
      </c>
      <c r="B454" t="s">
        <v>5765</v>
      </c>
    </row>
    <row r="455" spans="1:2">
      <c r="A455" t="s">
        <v>6441</v>
      </c>
      <c r="B455" t="s">
        <v>6442</v>
      </c>
    </row>
    <row r="456" spans="1:2">
      <c r="A456" t="s">
        <v>5925</v>
      </c>
      <c r="B456" t="s">
        <v>5926</v>
      </c>
    </row>
    <row r="457" spans="1:2">
      <c r="A457" t="s">
        <v>6411</v>
      </c>
      <c r="B457" t="s">
        <v>6412</v>
      </c>
    </row>
    <row r="458" spans="1:2">
      <c r="A458" t="s">
        <v>5923</v>
      </c>
      <c r="B458" t="s">
        <v>5924</v>
      </c>
    </row>
    <row r="459" spans="1:2">
      <c r="A459" t="s">
        <v>6105</v>
      </c>
      <c r="B459" t="s">
        <v>6106</v>
      </c>
    </row>
    <row r="460" spans="1:2">
      <c r="A460" t="s">
        <v>5772</v>
      </c>
      <c r="B460" t="s">
        <v>5773</v>
      </c>
    </row>
    <row r="461" spans="1:2">
      <c r="A461" t="s">
        <v>5461</v>
      </c>
      <c r="B461" t="s">
        <v>5462</v>
      </c>
    </row>
    <row r="462" spans="1:2">
      <c r="A462" t="s">
        <v>5965</v>
      </c>
      <c r="B462" t="s">
        <v>5966</v>
      </c>
    </row>
    <row r="463" spans="1:2">
      <c r="A463" t="s">
        <v>5557</v>
      </c>
      <c r="B463" t="s">
        <v>5558</v>
      </c>
    </row>
    <row r="464" spans="1:2">
      <c r="A464" t="s">
        <v>6121</v>
      </c>
      <c r="B464" t="s">
        <v>6122</v>
      </c>
    </row>
    <row r="465" spans="1:2">
      <c r="A465" t="s">
        <v>5747</v>
      </c>
      <c r="B465" t="s">
        <v>5748</v>
      </c>
    </row>
    <row r="466" spans="1:2">
      <c r="A466" t="s">
        <v>5425</v>
      </c>
      <c r="B466" t="s">
        <v>9349</v>
      </c>
    </row>
    <row r="467" spans="1:2">
      <c r="A467" t="s">
        <v>5479</v>
      </c>
      <c r="B467" t="s">
        <v>9234</v>
      </c>
    </row>
    <row r="468" spans="1:2">
      <c r="A468" t="s">
        <v>5488</v>
      </c>
      <c r="B468" t="s">
        <v>9514</v>
      </c>
    </row>
    <row r="469" spans="1:2">
      <c r="A469" t="s">
        <v>6662</v>
      </c>
      <c r="B469" t="s">
        <v>6663</v>
      </c>
    </row>
    <row r="470" spans="1:2">
      <c r="A470" t="s">
        <v>5933</v>
      </c>
      <c r="B470" t="s">
        <v>5934</v>
      </c>
    </row>
    <row r="471" spans="1:2">
      <c r="A471" t="s">
        <v>6388</v>
      </c>
      <c r="B471" t="s">
        <v>6389</v>
      </c>
    </row>
    <row r="472" spans="1:2">
      <c r="A472" t="s">
        <v>6187</v>
      </c>
      <c r="B472" t="s">
        <v>6188</v>
      </c>
    </row>
    <row r="473" spans="1:2">
      <c r="A473" t="s">
        <v>6291</v>
      </c>
      <c r="B473" t="s">
        <v>6292</v>
      </c>
    </row>
    <row r="474" spans="1:2">
      <c r="A474" t="s">
        <v>5587</v>
      </c>
      <c r="B474" t="s">
        <v>5588</v>
      </c>
    </row>
    <row r="475" spans="1:2">
      <c r="A475" t="s">
        <v>6630</v>
      </c>
      <c r="B475" t="s">
        <v>8654</v>
      </c>
    </row>
    <row r="476" spans="1:2">
      <c r="A476" t="s">
        <v>6089</v>
      </c>
      <c r="B476" t="s">
        <v>6090</v>
      </c>
    </row>
    <row r="477" spans="1:2">
      <c r="A477" t="s">
        <v>5610</v>
      </c>
      <c r="B477" t="s">
        <v>8937</v>
      </c>
    </row>
    <row r="478" spans="1:2">
      <c r="A478" t="s">
        <v>6458</v>
      </c>
      <c r="B478" t="s">
        <v>6459</v>
      </c>
    </row>
    <row r="479" spans="1:2">
      <c r="A479" t="s">
        <v>6540</v>
      </c>
      <c r="B479" t="s">
        <v>6541</v>
      </c>
    </row>
    <row r="480" spans="1:2">
      <c r="A480" t="s">
        <v>5977</v>
      </c>
      <c r="B480" t="s">
        <v>5978</v>
      </c>
    </row>
    <row r="481" spans="1:2">
      <c r="A481" t="s">
        <v>5781</v>
      </c>
      <c r="B481" t="s">
        <v>5782</v>
      </c>
    </row>
    <row r="482" spans="1:2">
      <c r="A482" t="s">
        <v>5491</v>
      </c>
      <c r="B482" t="s">
        <v>5492</v>
      </c>
    </row>
    <row r="483" spans="1:2">
      <c r="A483" t="s">
        <v>8644</v>
      </c>
      <c r="B483" t="s">
        <v>8645</v>
      </c>
    </row>
    <row r="484" spans="1:2">
      <c r="A484" t="s">
        <v>9627</v>
      </c>
      <c r="B484" t="s">
        <v>9628</v>
      </c>
    </row>
    <row r="485" spans="1:2">
      <c r="A485" t="s">
        <v>6453</v>
      </c>
      <c r="B485" t="s">
        <v>6454</v>
      </c>
    </row>
    <row r="486" spans="1:2">
      <c r="A486" t="s">
        <v>6125</v>
      </c>
      <c r="B486" t="s">
        <v>6126</v>
      </c>
    </row>
    <row r="487" spans="1:2">
      <c r="A487" t="s">
        <v>6271</v>
      </c>
      <c r="B487" t="s">
        <v>6272</v>
      </c>
    </row>
    <row r="488" spans="1:2">
      <c r="A488" t="s">
        <v>6007</v>
      </c>
      <c r="B488" t="s">
        <v>6008</v>
      </c>
    </row>
    <row r="489" spans="1:2">
      <c r="A489" t="s">
        <v>5401</v>
      </c>
      <c r="B489" t="s">
        <v>5402</v>
      </c>
    </row>
    <row r="490" spans="1:2">
      <c r="A490" t="s">
        <v>5697</v>
      </c>
      <c r="B490" t="s">
        <v>5698</v>
      </c>
    </row>
    <row r="491" spans="1:2">
      <c r="A491" t="s">
        <v>6117</v>
      </c>
      <c r="B491" t="s">
        <v>6118</v>
      </c>
    </row>
    <row r="492" spans="1:2">
      <c r="A492" t="s">
        <v>5896</v>
      </c>
      <c r="B492" t="s">
        <v>5897</v>
      </c>
    </row>
    <row r="493" spans="1:2">
      <c r="A493" t="s">
        <v>5858</v>
      </c>
      <c r="B493" t="s">
        <v>5859</v>
      </c>
    </row>
    <row r="494" spans="1:2">
      <c r="A494" t="s">
        <v>5947</v>
      </c>
      <c r="B494" t="s">
        <v>5948</v>
      </c>
    </row>
    <row r="495" spans="1:2">
      <c r="A495" t="s">
        <v>5973</v>
      </c>
      <c r="B495" t="s">
        <v>5974</v>
      </c>
    </row>
    <row r="496" spans="1:2">
      <c r="A496" t="s">
        <v>5512</v>
      </c>
      <c r="B496" t="s">
        <v>5513</v>
      </c>
    </row>
    <row r="497" spans="1:2">
      <c r="A497" t="s">
        <v>6386</v>
      </c>
      <c r="B497" t="s">
        <v>6387</v>
      </c>
    </row>
    <row r="498" spans="1:2">
      <c r="A498" t="s">
        <v>6502</v>
      </c>
      <c r="B498" t="s">
        <v>6503</v>
      </c>
    </row>
    <row r="499" spans="1:2">
      <c r="A499" t="s">
        <v>6325</v>
      </c>
      <c r="B499" t="s">
        <v>6326</v>
      </c>
    </row>
    <row r="500" spans="1:2">
      <c r="A500" t="s">
        <v>6382</v>
      </c>
      <c r="B500" t="s">
        <v>6383</v>
      </c>
    </row>
    <row r="501" spans="1:2">
      <c r="A501" t="s">
        <v>6280</v>
      </c>
      <c r="B501" t="s">
        <v>6281</v>
      </c>
    </row>
    <row r="502" spans="1:2">
      <c r="A502" t="s">
        <v>6521</v>
      </c>
      <c r="B502" t="s">
        <v>6522</v>
      </c>
    </row>
    <row r="503" spans="1:2">
      <c r="A503" t="s">
        <v>6413</v>
      </c>
      <c r="B503" t="s">
        <v>6414</v>
      </c>
    </row>
    <row r="504" spans="1:2">
      <c r="A504" t="s">
        <v>6137</v>
      </c>
      <c r="B504" t="s">
        <v>6138</v>
      </c>
    </row>
    <row r="505" spans="1:2">
      <c r="A505" t="s">
        <v>6560</v>
      </c>
      <c r="B505" t="s">
        <v>6561</v>
      </c>
    </row>
    <row r="506" spans="1:2">
      <c r="A506" t="s">
        <v>9270</v>
      </c>
      <c r="B506" t="s">
        <v>9271</v>
      </c>
    </row>
    <row r="507" spans="1:2">
      <c r="A507" t="s">
        <v>5791</v>
      </c>
      <c r="B507" t="s">
        <v>5792</v>
      </c>
    </row>
    <row r="508" spans="1:2">
      <c r="A508" t="s">
        <v>6247</v>
      </c>
      <c r="B508" t="s">
        <v>9150</v>
      </c>
    </row>
    <row r="509" spans="1:2">
      <c r="A509" t="s">
        <v>5779</v>
      </c>
      <c r="B509" t="s">
        <v>5780</v>
      </c>
    </row>
    <row r="510" spans="1:2">
      <c r="A510" t="s">
        <v>6231</v>
      </c>
      <c r="B510" t="s">
        <v>6232</v>
      </c>
    </row>
    <row r="511" spans="1:2">
      <c r="A511" t="s">
        <v>8482</v>
      </c>
      <c r="B511" t="s">
        <v>8483</v>
      </c>
    </row>
    <row r="512" spans="1:2">
      <c r="A512" t="s">
        <v>5391</v>
      </c>
      <c r="B512" t="s">
        <v>5392</v>
      </c>
    </row>
    <row r="513" spans="1:2">
      <c r="A513" t="s">
        <v>6135</v>
      </c>
      <c r="B513" t="s">
        <v>6136</v>
      </c>
    </row>
    <row r="514" spans="1:2">
      <c r="A514" t="s">
        <v>5904</v>
      </c>
      <c r="B514" t="s">
        <v>5905</v>
      </c>
    </row>
    <row r="515" spans="1:2">
      <c r="A515" t="s">
        <v>8496</v>
      </c>
      <c r="B515" t="s">
        <v>8497</v>
      </c>
    </row>
    <row r="516" spans="1:2">
      <c r="A516" t="s">
        <v>6443</v>
      </c>
      <c r="B516" t="s">
        <v>6444</v>
      </c>
    </row>
    <row r="517" spans="1:2">
      <c r="A517" t="s">
        <v>7048</v>
      </c>
      <c r="B517" t="s">
        <v>9139</v>
      </c>
    </row>
    <row r="518" spans="1:2">
      <c r="A518" t="s">
        <v>6019</v>
      </c>
      <c r="B518" t="s">
        <v>6020</v>
      </c>
    </row>
    <row r="519" spans="1:2">
      <c r="A519" t="s">
        <v>5670</v>
      </c>
      <c r="B519" t="s">
        <v>5671</v>
      </c>
    </row>
    <row r="520" spans="1:2">
      <c r="A520" t="s">
        <v>6062</v>
      </c>
      <c r="B520" t="s">
        <v>6063</v>
      </c>
    </row>
    <row r="521" spans="1:2">
      <c r="A521" t="s">
        <v>5955</v>
      </c>
      <c r="B521" t="s">
        <v>5956</v>
      </c>
    </row>
    <row r="522" spans="1:2">
      <c r="A522" t="s">
        <v>6344</v>
      </c>
      <c r="B522" t="s">
        <v>6345</v>
      </c>
    </row>
    <row r="523" spans="1:2">
      <c r="A523" t="s">
        <v>6185</v>
      </c>
      <c r="B523" t="s">
        <v>6186</v>
      </c>
    </row>
    <row r="524" spans="1:2">
      <c r="A524" t="s">
        <v>9095</v>
      </c>
      <c r="B524" t="s">
        <v>9096</v>
      </c>
    </row>
    <row r="525" spans="1:2">
      <c r="A525" t="s">
        <v>8500</v>
      </c>
      <c r="B525" t="s">
        <v>8626</v>
      </c>
    </row>
    <row r="526" spans="1:2">
      <c r="A526" t="s">
        <v>5489</v>
      </c>
      <c r="B526" t="s">
        <v>5490</v>
      </c>
    </row>
    <row r="527" spans="1:2">
      <c r="A527" t="s">
        <v>6290</v>
      </c>
      <c r="B527" t="s">
        <v>8508</v>
      </c>
    </row>
    <row r="528" spans="1:2">
      <c r="A528" t="s">
        <v>6554</v>
      </c>
      <c r="B528" t="s">
        <v>6555</v>
      </c>
    </row>
    <row r="529" spans="1:2">
      <c r="A529" t="s">
        <v>6664</v>
      </c>
      <c r="B529" t="s">
        <v>6665</v>
      </c>
    </row>
    <row r="530" spans="1:2">
      <c r="A530" t="s">
        <v>6071</v>
      </c>
      <c r="B530" t="s">
        <v>9523</v>
      </c>
    </row>
    <row r="531" spans="1:2">
      <c r="A531" t="s">
        <v>5589</v>
      </c>
      <c r="B531" t="s">
        <v>5590</v>
      </c>
    </row>
    <row r="532" spans="1:2">
      <c r="A532" t="s">
        <v>8476</v>
      </c>
      <c r="B532" t="s">
        <v>8477</v>
      </c>
    </row>
    <row r="533" spans="1:2">
      <c r="A533" t="s">
        <v>6676</v>
      </c>
      <c r="B533" t="s">
        <v>6677</v>
      </c>
    </row>
    <row r="534" spans="1:2">
      <c r="A534" t="s">
        <v>6054</v>
      </c>
      <c r="B534" t="s">
        <v>6055</v>
      </c>
    </row>
    <row r="535" spans="1:2">
      <c r="A535" t="s">
        <v>6556</v>
      </c>
      <c r="B535" t="s">
        <v>6557</v>
      </c>
    </row>
    <row r="536" spans="1:2">
      <c r="A536" t="s">
        <v>6698</v>
      </c>
      <c r="B536" t="s">
        <v>6699</v>
      </c>
    </row>
    <row r="537" spans="1:2">
      <c r="A537" t="s">
        <v>6525</v>
      </c>
      <c r="B537" t="s">
        <v>6526</v>
      </c>
    </row>
    <row r="538" spans="1:2">
      <c r="A538" t="s">
        <v>5906</v>
      </c>
      <c r="B538" t="s">
        <v>5907</v>
      </c>
    </row>
    <row r="539" spans="1:2">
      <c r="A539" t="s">
        <v>6449</v>
      </c>
      <c r="B539" t="s">
        <v>6450</v>
      </c>
    </row>
    <row r="540" spans="1:2">
      <c r="A540" t="s">
        <v>6558</v>
      </c>
      <c r="B540" t="s">
        <v>6559</v>
      </c>
    </row>
    <row r="541" spans="1:2">
      <c r="A541" t="s">
        <v>5436</v>
      </c>
      <c r="B541" t="s">
        <v>5437</v>
      </c>
    </row>
    <row r="542" spans="1:2">
      <c r="A542" t="s">
        <v>6419</v>
      </c>
      <c r="B542" t="s">
        <v>6420</v>
      </c>
    </row>
    <row r="543" spans="1:2">
      <c r="A543" t="s">
        <v>5959</v>
      </c>
      <c r="B543" t="s">
        <v>5960</v>
      </c>
    </row>
    <row r="544" spans="1:2">
      <c r="A544" t="s">
        <v>6318</v>
      </c>
      <c r="B544" t="s">
        <v>6319</v>
      </c>
    </row>
    <row r="545" spans="1:2">
      <c r="A545" t="s">
        <v>6070</v>
      </c>
      <c r="B545" t="s">
        <v>8763</v>
      </c>
    </row>
    <row r="546" spans="1:2">
      <c r="A546" t="s">
        <v>6680</v>
      </c>
      <c r="B546" t="s">
        <v>6681</v>
      </c>
    </row>
    <row r="547" spans="1:2">
      <c r="A547" t="s">
        <v>5705</v>
      </c>
      <c r="B547" t="s">
        <v>5706</v>
      </c>
    </row>
    <row r="548" spans="1:2">
      <c r="A548" t="s">
        <v>6293</v>
      </c>
      <c r="B548" t="s">
        <v>6294</v>
      </c>
    </row>
    <row r="549" spans="1:2">
      <c r="A549" t="s">
        <v>6401</v>
      </c>
      <c r="B549" t="s">
        <v>6402</v>
      </c>
    </row>
    <row r="550" spans="1:2">
      <c r="A550" t="s">
        <v>6640</v>
      </c>
      <c r="B550" t="s">
        <v>6641</v>
      </c>
    </row>
    <row r="551" spans="1:2">
      <c r="A551" t="s">
        <v>6211</v>
      </c>
      <c r="B551" t="s">
        <v>6212</v>
      </c>
    </row>
    <row r="552" spans="1:2">
      <c r="A552" t="s">
        <v>5602</v>
      </c>
      <c r="B552" t="s">
        <v>5603</v>
      </c>
    </row>
    <row r="553" spans="1:2">
      <c r="A553" t="s">
        <v>6233</v>
      </c>
      <c r="B553" t="s">
        <v>6234</v>
      </c>
    </row>
    <row r="554" spans="1:2">
      <c r="A554" t="s">
        <v>5685</v>
      </c>
      <c r="B554" t="s">
        <v>5686</v>
      </c>
    </row>
    <row r="555" spans="1:2">
      <c r="A555" t="s">
        <v>6614</v>
      </c>
      <c r="B555" t="s">
        <v>6615</v>
      </c>
    </row>
    <row r="556" spans="1:2">
      <c r="A556" t="s">
        <v>5787</v>
      </c>
      <c r="B556" t="s">
        <v>5788</v>
      </c>
    </row>
    <row r="557" spans="1:2">
      <c r="A557" t="s">
        <v>6040</v>
      </c>
      <c r="B557" t="s">
        <v>6041</v>
      </c>
    </row>
    <row r="558" spans="1:2">
      <c r="A558" t="s">
        <v>6580</v>
      </c>
      <c r="B558" t="s">
        <v>6581</v>
      </c>
    </row>
    <row r="559" spans="1:2">
      <c r="A559" t="s">
        <v>5389</v>
      </c>
      <c r="B559" t="s">
        <v>5390</v>
      </c>
    </row>
    <row r="560" spans="1:2">
      <c r="A560" t="s">
        <v>6631</v>
      </c>
      <c r="B560" t="s">
        <v>6632</v>
      </c>
    </row>
    <row r="561" spans="1:2">
      <c r="A561" t="s">
        <v>6396</v>
      </c>
      <c r="B561" t="s">
        <v>9599</v>
      </c>
    </row>
    <row r="562" spans="1:2">
      <c r="A562" t="s">
        <v>6330</v>
      </c>
      <c r="B562" t="s">
        <v>6331</v>
      </c>
    </row>
    <row r="563" spans="1:2">
      <c r="A563" t="s">
        <v>5563</v>
      </c>
      <c r="B563" t="s">
        <v>5564</v>
      </c>
    </row>
    <row r="564" spans="1:2">
      <c r="A564" t="s">
        <v>8525</v>
      </c>
      <c r="B564" t="s">
        <v>8526</v>
      </c>
    </row>
    <row r="565" spans="1:2">
      <c r="A565" t="s">
        <v>6542</v>
      </c>
      <c r="B565" t="s">
        <v>6543</v>
      </c>
    </row>
    <row r="566" spans="1:2">
      <c r="A566" t="s">
        <v>6115</v>
      </c>
      <c r="B566" t="s">
        <v>6116</v>
      </c>
    </row>
    <row r="567" spans="1:2">
      <c r="A567" t="s">
        <v>6616</v>
      </c>
      <c r="B567" t="s">
        <v>6617</v>
      </c>
    </row>
    <row r="568" spans="1:2">
      <c r="A568" t="s">
        <v>6360</v>
      </c>
      <c r="B568" t="s">
        <v>6361</v>
      </c>
    </row>
    <row r="569" spans="1:2">
      <c r="A569" t="s">
        <v>6727</v>
      </c>
      <c r="B569" t="s">
        <v>6728</v>
      </c>
    </row>
    <row r="570" spans="1:2">
      <c r="A570" t="s">
        <v>6467</v>
      </c>
      <c r="B570" t="s">
        <v>6468</v>
      </c>
    </row>
    <row r="571" spans="1:2">
      <c r="A571" t="s">
        <v>6598</v>
      </c>
      <c r="B571" t="s">
        <v>6599</v>
      </c>
    </row>
    <row r="572" spans="1:2">
      <c r="A572" t="s">
        <v>6163</v>
      </c>
      <c r="B572" t="s">
        <v>6164</v>
      </c>
    </row>
    <row r="573" spans="1:2">
      <c r="A573" t="s">
        <v>6587</v>
      </c>
      <c r="B573" t="s">
        <v>6588</v>
      </c>
    </row>
    <row r="574" spans="1:2">
      <c r="A574" t="s">
        <v>6369</v>
      </c>
      <c r="B574" t="s">
        <v>8935</v>
      </c>
    </row>
    <row r="575" spans="1:2">
      <c r="A575" t="s">
        <v>6334</v>
      </c>
      <c r="B575" t="s">
        <v>6335</v>
      </c>
    </row>
    <row r="576" spans="1:2">
      <c r="A576" t="s">
        <v>6362</v>
      </c>
      <c r="B576" t="s">
        <v>6363</v>
      </c>
    </row>
    <row r="577" spans="1:2">
      <c r="A577" t="s">
        <v>5547</v>
      </c>
      <c r="B577" t="s">
        <v>5548</v>
      </c>
    </row>
    <row r="578" spans="1:2">
      <c r="A578" t="s">
        <v>5593</v>
      </c>
      <c r="B578" t="s">
        <v>5594</v>
      </c>
    </row>
    <row r="579" spans="1:2">
      <c r="A579" t="s">
        <v>5370</v>
      </c>
      <c r="B579" t="s">
        <v>5371</v>
      </c>
    </row>
    <row r="580" spans="1:2">
      <c r="A580" t="s">
        <v>5939</v>
      </c>
      <c r="B580" t="s">
        <v>5940</v>
      </c>
    </row>
    <row r="581" spans="1:2">
      <c r="A581" t="s">
        <v>5854</v>
      </c>
      <c r="B581" t="s">
        <v>5855</v>
      </c>
    </row>
    <row r="582" spans="1:2">
      <c r="A582" t="s">
        <v>6678</v>
      </c>
      <c r="B582" t="s">
        <v>6679</v>
      </c>
    </row>
    <row r="583" spans="1:2">
      <c r="A583" t="s">
        <v>6723</v>
      </c>
      <c r="B583" t="s">
        <v>6724</v>
      </c>
    </row>
    <row r="584" spans="1:2">
      <c r="A584" t="s">
        <v>5518</v>
      </c>
      <c r="B584" t="s">
        <v>5519</v>
      </c>
    </row>
    <row r="585" spans="1:2">
      <c r="A585" t="s">
        <v>6638</v>
      </c>
      <c r="B585" t="s">
        <v>6639</v>
      </c>
    </row>
    <row r="586" spans="1:2">
      <c r="A586" t="s">
        <v>6356</v>
      </c>
      <c r="B586" t="s">
        <v>6357</v>
      </c>
    </row>
    <row r="587" spans="1:2">
      <c r="A587" t="s">
        <v>6367</v>
      </c>
      <c r="B587" t="s">
        <v>6368</v>
      </c>
    </row>
    <row r="588" spans="1:2">
      <c r="A588" t="s">
        <v>6692</v>
      </c>
      <c r="B588" t="s">
        <v>6693</v>
      </c>
    </row>
    <row r="589" spans="1:2">
      <c r="A589" t="s">
        <v>6004</v>
      </c>
      <c r="B589" t="s">
        <v>9441</v>
      </c>
    </row>
    <row r="590" spans="1:2">
      <c r="A590" t="s">
        <v>5342</v>
      </c>
      <c r="B590" t="s">
        <v>5343</v>
      </c>
    </row>
    <row r="591" spans="1:2">
      <c r="A591" t="s">
        <v>6397</v>
      </c>
      <c r="B591" t="s">
        <v>6398</v>
      </c>
    </row>
    <row r="592" spans="1:2">
      <c r="A592" t="s">
        <v>6154</v>
      </c>
      <c r="B592" t="s">
        <v>6155</v>
      </c>
    </row>
    <row r="593" spans="1:2">
      <c r="A593" t="s">
        <v>5473</v>
      </c>
      <c r="B593" t="s">
        <v>5474</v>
      </c>
    </row>
    <row r="594" spans="1:2">
      <c r="A594" t="s">
        <v>5985</v>
      </c>
      <c r="B594" t="s">
        <v>5986</v>
      </c>
    </row>
    <row r="595" spans="1:2">
      <c r="A595" t="s">
        <v>5364</v>
      </c>
      <c r="B595" t="s">
        <v>5365</v>
      </c>
    </row>
    <row r="596" spans="1:2">
      <c r="A596" t="s">
        <v>6403</v>
      </c>
      <c r="B596" t="s">
        <v>6404</v>
      </c>
    </row>
    <row r="597" spans="1:2">
      <c r="A597" t="s">
        <v>5344</v>
      </c>
      <c r="B597" t="s">
        <v>5345</v>
      </c>
    </row>
    <row r="598" spans="1:2">
      <c r="A598" t="s">
        <v>5621</v>
      </c>
      <c r="B598" t="s">
        <v>5622</v>
      </c>
    </row>
    <row r="599" spans="1:2">
      <c r="A599" t="s">
        <v>6455</v>
      </c>
      <c r="B599" t="s">
        <v>9241</v>
      </c>
    </row>
    <row r="600" spans="1:2">
      <c r="A600" t="s">
        <v>5682</v>
      </c>
      <c r="B600" t="s">
        <v>8764</v>
      </c>
    </row>
    <row r="601" spans="1:2">
      <c r="A601" t="s">
        <v>6658</v>
      </c>
      <c r="B601" t="s">
        <v>6659</v>
      </c>
    </row>
    <row r="602" spans="1:2">
      <c r="A602" t="s">
        <v>5643</v>
      </c>
      <c r="B602" t="s">
        <v>5644</v>
      </c>
    </row>
    <row r="603" spans="1:2">
      <c r="A603" t="s">
        <v>5403</v>
      </c>
      <c r="B603" t="s">
        <v>5404</v>
      </c>
    </row>
    <row r="604" spans="1:2">
      <c r="A604" t="s">
        <v>5745</v>
      </c>
      <c r="B604" t="s">
        <v>5746</v>
      </c>
    </row>
    <row r="605" spans="1:2">
      <c r="A605" t="s">
        <v>6141</v>
      </c>
      <c r="B605" t="s">
        <v>6142</v>
      </c>
    </row>
    <row r="606" spans="1:2">
      <c r="A606" t="s">
        <v>5894</v>
      </c>
      <c r="B606" t="s">
        <v>5895</v>
      </c>
    </row>
    <row r="607" spans="1:2">
      <c r="A607" t="s">
        <v>6276</v>
      </c>
      <c r="B607" t="s">
        <v>6277</v>
      </c>
    </row>
    <row r="608" spans="1:2">
      <c r="A608" t="s">
        <v>6779</v>
      </c>
      <c r="B608" t="s">
        <v>8918</v>
      </c>
    </row>
    <row r="609" spans="1:2">
      <c r="A609" t="s">
        <v>5880</v>
      </c>
      <c r="B609" t="s">
        <v>5881</v>
      </c>
    </row>
    <row r="610" spans="1:2">
      <c r="A610" t="s">
        <v>6682</v>
      </c>
      <c r="B610" t="s">
        <v>6683</v>
      </c>
    </row>
    <row r="611" spans="1:2">
      <c r="A611" t="s">
        <v>6733</v>
      </c>
      <c r="B611" t="s">
        <v>6734</v>
      </c>
    </row>
    <row r="612" spans="1:2">
      <c r="A612" t="s">
        <v>5945</v>
      </c>
      <c r="B612" t="s">
        <v>5946</v>
      </c>
    </row>
    <row r="613" spans="1:2">
      <c r="A613" t="s">
        <v>5542</v>
      </c>
      <c r="B613" t="s">
        <v>9128</v>
      </c>
    </row>
    <row r="614" spans="1:2">
      <c r="A614" t="s">
        <v>5795</v>
      </c>
      <c r="B614" t="s">
        <v>5796</v>
      </c>
    </row>
    <row r="615" spans="1:2">
      <c r="A615" t="s">
        <v>6783</v>
      </c>
      <c r="B615" t="s">
        <v>6784</v>
      </c>
    </row>
    <row r="616" spans="1:2">
      <c r="A616" t="s">
        <v>6624</v>
      </c>
      <c r="B616" t="s">
        <v>6625</v>
      </c>
    </row>
    <row r="617" spans="1:2">
      <c r="A617" t="s">
        <v>6752</v>
      </c>
      <c r="B617" t="s">
        <v>6753</v>
      </c>
    </row>
    <row r="618" spans="1:2">
      <c r="A618" t="s">
        <v>6239</v>
      </c>
      <c r="B618" t="s">
        <v>6240</v>
      </c>
    </row>
    <row r="619" spans="1:2">
      <c r="A619" t="s">
        <v>6702</v>
      </c>
      <c r="B619" t="s">
        <v>6703</v>
      </c>
    </row>
    <row r="620" spans="1:2">
      <c r="A620" t="s">
        <v>5729</v>
      </c>
      <c r="B620" t="s">
        <v>5730</v>
      </c>
    </row>
    <row r="621" spans="1:2">
      <c r="A621" t="s">
        <v>6758</v>
      </c>
      <c r="B621" t="s">
        <v>9481</v>
      </c>
    </row>
    <row r="622" spans="1:2">
      <c r="A622" t="s">
        <v>6651</v>
      </c>
      <c r="B622" t="s">
        <v>9132</v>
      </c>
    </row>
    <row r="623" spans="1:2">
      <c r="A623" t="s">
        <v>5979</v>
      </c>
      <c r="B623" t="s">
        <v>5980</v>
      </c>
    </row>
    <row r="624" spans="1:2">
      <c r="A624" t="s">
        <v>6690</v>
      </c>
      <c r="B624" t="s">
        <v>6691</v>
      </c>
    </row>
    <row r="625" spans="1:2">
      <c r="A625" t="s">
        <v>6203</v>
      </c>
      <c r="B625" t="s">
        <v>6204</v>
      </c>
    </row>
    <row r="626" spans="1:2">
      <c r="A626" t="s">
        <v>6378</v>
      </c>
      <c r="B626" t="s">
        <v>6379</v>
      </c>
    </row>
    <row r="627" spans="1:2">
      <c r="A627" t="s">
        <v>6672</v>
      </c>
      <c r="B627" t="s">
        <v>6673</v>
      </c>
    </row>
    <row r="628" spans="1:2">
      <c r="A628" t="s">
        <v>5348</v>
      </c>
      <c r="B628" t="s">
        <v>8707</v>
      </c>
    </row>
    <row r="629" spans="1:2">
      <c r="A629" t="s">
        <v>6835</v>
      </c>
      <c r="B629" t="s">
        <v>6836</v>
      </c>
    </row>
    <row r="630" spans="1:2">
      <c r="A630" t="s">
        <v>6737</v>
      </c>
      <c r="B630" t="s">
        <v>6738</v>
      </c>
    </row>
    <row r="631" spans="1:2">
      <c r="A631" t="s">
        <v>6771</v>
      </c>
      <c r="B631" t="s">
        <v>8740</v>
      </c>
    </row>
    <row r="632" spans="1:2">
      <c r="A632" t="s">
        <v>5655</v>
      </c>
      <c r="B632" t="s">
        <v>5656</v>
      </c>
    </row>
    <row r="633" spans="1:2">
      <c r="A633" t="s">
        <v>7076</v>
      </c>
      <c r="B633" t="s">
        <v>9158</v>
      </c>
    </row>
    <row r="634" spans="1:2">
      <c r="A634" t="s">
        <v>6060</v>
      </c>
      <c r="B634" t="s">
        <v>6061</v>
      </c>
    </row>
    <row r="635" spans="1:2">
      <c r="A635" t="s">
        <v>6708</v>
      </c>
      <c r="B635" t="s">
        <v>6709</v>
      </c>
    </row>
    <row r="636" spans="1:2">
      <c r="A636" t="s">
        <v>5856</v>
      </c>
      <c r="B636" t="s">
        <v>5857</v>
      </c>
    </row>
    <row r="637" spans="1:2">
      <c r="A637" t="s">
        <v>6696</v>
      </c>
      <c r="B637" t="s">
        <v>6697</v>
      </c>
    </row>
    <row r="638" spans="1:2">
      <c r="A638" t="s">
        <v>6864</v>
      </c>
      <c r="B638" t="s">
        <v>6865</v>
      </c>
    </row>
    <row r="639" spans="1:2">
      <c r="A639" t="s">
        <v>7077</v>
      </c>
      <c r="B639" t="s">
        <v>7078</v>
      </c>
    </row>
    <row r="640" spans="1:2">
      <c r="A640" t="s">
        <v>6606</v>
      </c>
      <c r="B640" t="s">
        <v>6607</v>
      </c>
    </row>
    <row r="641" spans="1:2">
      <c r="A641" t="s">
        <v>6652</v>
      </c>
      <c r="B641" t="s">
        <v>6653</v>
      </c>
    </row>
    <row r="642" spans="1:2">
      <c r="A642" t="s">
        <v>6633</v>
      </c>
      <c r="B642" t="s">
        <v>8725</v>
      </c>
    </row>
    <row r="643" spans="1:2">
      <c r="A643" t="s">
        <v>6756</v>
      </c>
      <c r="B643" t="s">
        <v>9571</v>
      </c>
    </row>
    <row r="644" spans="1:2">
      <c r="A644" t="s">
        <v>6710</v>
      </c>
      <c r="B644" t="s">
        <v>6711</v>
      </c>
    </row>
    <row r="645" spans="1:2">
      <c r="A645" t="s">
        <v>6877</v>
      </c>
      <c r="B645" t="s">
        <v>6878</v>
      </c>
    </row>
    <row r="646" spans="1:2">
      <c r="A646" t="s">
        <v>5832</v>
      </c>
      <c r="B646" t="s">
        <v>5833</v>
      </c>
    </row>
    <row r="647" spans="1:2">
      <c r="A647" t="s">
        <v>6849</v>
      </c>
      <c r="B647" t="s">
        <v>6850</v>
      </c>
    </row>
    <row r="648" spans="1:2">
      <c r="A648" t="s">
        <v>6818</v>
      </c>
      <c r="B648" t="s">
        <v>6819</v>
      </c>
    </row>
    <row r="649" spans="1:2">
      <c r="A649" t="s">
        <v>6713</v>
      </c>
      <c r="B649" t="s">
        <v>6714</v>
      </c>
    </row>
    <row r="650" spans="1:2">
      <c r="A650" t="s">
        <v>6777</v>
      </c>
      <c r="B650" t="s">
        <v>6778</v>
      </c>
    </row>
    <row r="651" spans="1:2">
      <c r="A651" t="s">
        <v>6670</v>
      </c>
      <c r="B651" t="s">
        <v>6671</v>
      </c>
    </row>
    <row r="652" spans="1:2">
      <c r="A652" t="s">
        <v>6791</v>
      </c>
      <c r="B652" t="s">
        <v>6792</v>
      </c>
    </row>
    <row r="653" spans="1:2">
      <c r="A653" t="s">
        <v>6847</v>
      </c>
      <c r="B653" t="s">
        <v>6848</v>
      </c>
    </row>
    <row r="654" spans="1:2">
      <c r="A654" t="s">
        <v>6735</v>
      </c>
      <c r="B654" t="s">
        <v>6736</v>
      </c>
    </row>
    <row r="655" spans="1:2">
      <c r="A655" t="s">
        <v>6584</v>
      </c>
      <c r="B655" t="s">
        <v>6585</v>
      </c>
    </row>
    <row r="656" spans="1:2">
      <c r="A656" t="s">
        <v>5522</v>
      </c>
      <c r="B656" t="s">
        <v>8535</v>
      </c>
    </row>
    <row r="657" spans="1:2">
      <c r="A657" t="s">
        <v>6853</v>
      </c>
      <c r="B657" t="s">
        <v>6854</v>
      </c>
    </row>
    <row r="658" spans="1:2">
      <c r="A658" t="s">
        <v>6843</v>
      </c>
      <c r="B658" t="s">
        <v>6844</v>
      </c>
    </row>
    <row r="659" spans="1:2">
      <c r="A659" t="s">
        <v>6855</v>
      </c>
      <c r="B659" t="s">
        <v>6856</v>
      </c>
    </row>
    <row r="660" spans="1:2">
      <c r="A660" t="s">
        <v>6743</v>
      </c>
      <c r="B660" t="s">
        <v>8974</v>
      </c>
    </row>
    <row r="661" spans="1:2">
      <c r="A661" t="s">
        <v>6764</v>
      </c>
      <c r="B661" t="s">
        <v>6765</v>
      </c>
    </row>
    <row r="662" spans="1:2">
      <c r="A662" t="s">
        <v>6700</v>
      </c>
      <c r="B662" t="s">
        <v>6701</v>
      </c>
    </row>
    <row r="663" spans="1:2">
      <c r="A663" t="s">
        <v>6860</v>
      </c>
      <c r="B663" t="s">
        <v>8669</v>
      </c>
    </row>
    <row r="664" spans="1:2">
      <c r="A664" t="s">
        <v>6805</v>
      </c>
      <c r="B664" t="s">
        <v>6806</v>
      </c>
    </row>
    <row r="665" spans="1:2">
      <c r="A665" t="s">
        <v>6647</v>
      </c>
      <c r="B665" t="s">
        <v>6648</v>
      </c>
    </row>
    <row r="666" spans="1:2">
      <c r="A666" t="s">
        <v>6686</v>
      </c>
      <c r="B666" t="s">
        <v>9498</v>
      </c>
    </row>
    <row r="667" spans="1:2">
      <c r="A667" t="s">
        <v>6851</v>
      </c>
      <c r="B667" t="s">
        <v>6852</v>
      </c>
    </row>
    <row r="668" spans="1:2">
      <c r="A668" t="s">
        <v>5711</v>
      </c>
      <c r="B668" t="s">
        <v>5712</v>
      </c>
    </row>
    <row r="669" spans="1:2">
      <c r="A669" t="s">
        <v>6374</v>
      </c>
      <c r="B669" t="s">
        <v>6375</v>
      </c>
    </row>
    <row r="670" spans="1:2">
      <c r="A670" t="s">
        <v>6684</v>
      </c>
      <c r="B670" t="s">
        <v>6685</v>
      </c>
    </row>
    <row r="671" spans="1:2">
      <c r="A671" t="s">
        <v>6890</v>
      </c>
      <c r="B671" t="s">
        <v>6891</v>
      </c>
    </row>
    <row r="672" spans="1:2">
      <c r="A672" t="s">
        <v>6833</v>
      </c>
      <c r="B672" t="s">
        <v>6834</v>
      </c>
    </row>
    <row r="673" spans="1:2">
      <c r="A673" t="s">
        <v>6189</v>
      </c>
      <c r="B673" t="s">
        <v>6190</v>
      </c>
    </row>
    <row r="674" spans="1:2">
      <c r="A674" t="s">
        <v>5777</v>
      </c>
      <c r="B674" t="s">
        <v>5778</v>
      </c>
    </row>
    <row r="675" spans="1:2">
      <c r="A675" t="s">
        <v>6384</v>
      </c>
      <c r="B675" t="s">
        <v>6385</v>
      </c>
    </row>
    <row r="676" spans="1:2">
      <c r="A676" t="s">
        <v>6342</v>
      </c>
      <c r="B676" t="s">
        <v>6343</v>
      </c>
    </row>
    <row r="677" spans="1:2">
      <c r="A677" t="s">
        <v>6119</v>
      </c>
      <c r="B677" t="s">
        <v>6120</v>
      </c>
    </row>
    <row r="678" spans="1:2">
      <c r="A678" t="s">
        <v>6810</v>
      </c>
      <c r="B678" t="s">
        <v>6811</v>
      </c>
    </row>
    <row r="679" spans="1:2">
      <c r="A679" t="s">
        <v>6741</v>
      </c>
      <c r="B679" t="s">
        <v>6742</v>
      </c>
    </row>
    <row r="680" spans="1:2">
      <c r="A680" t="s">
        <v>6904</v>
      </c>
      <c r="B680" t="s">
        <v>9060</v>
      </c>
    </row>
    <row r="681" spans="1:2">
      <c r="A681" t="s">
        <v>6845</v>
      </c>
      <c r="B681" t="s">
        <v>6846</v>
      </c>
    </row>
    <row r="682" spans="1:2">
      <c r="A682" t="s">
        <v>5963</v>
      </c>
      <c r="B682" t="s">
        <v>5964</v>
      </c>
    </row>
    <row r="683" spans="1:2">
      <c r="A683" t="s">
        <v>5426</v>
      </c>
      <c r="B683" t="s">
        <v>5427</v>
      </c>
    </row>
    <row r="684" spans="1:2">
      <c r="A684" t="s">
        <v>6871</v>
      </c>
      <c r="B684" t="s">
        <v>6872</v>
      </c>
    </row>
    <row r="685" spans="1:2">
      <c r="A685" t="s">
        <v>6824</v>
      </c>
      <c r="B685" t="s">
        <v>6825</v>
      </c>
    </row>
    <row r="686" spans="1:2">
      <c r="A686" t="s">
        <v>6905</v>
      </c>
      <c r="B686" t="s">
        <v>6906</v>
      </c>
    </row>
    <row r="687" spans="1:2">
      <c r="A687" t="s">
        <v>7079</v>
      </c>
      <c r="B687" t="s">
        <v>9217</v>
      </c>
    </row>
    <row r="688" spans="1:2">
      <c r="A688" t="s">
        <v>6739</v>
      </c>
      <c r="B688" t="s">
        <v>6740</v>
      </c>
    </row>
    <row r="689" spans="1:2">
      <c r="A689" t="s">
        <v>5707</v>
      </c>
      <c r="B689" t="s">
        <v>5708</v>
      </c>
    </row>
    <row r="690" spans="1:2">
      <c r="A690" t="s">
        <v>6405</v>
      </c>
      <c r="B690" t="s">
        <v>6406</v>
      </c>
    </row>
    <row r="691" spans="1:2">
      <c r="A691" t="s">
        <v>5900</v>
      </c>
      <c r="B691" t="s">
        <v>5901</v>
      </c>
    </row>
    <row r="692" spans="1:2">
      <c r="A692" t="s">
        <v>5441</v>
      </c>
      <c r="B692" t="s">
        <v>5442</v>
      </c>
    </row>
    <row r="693" spans="1:2">
      <c r="A693" t="s">
        <v>6562</v>
      </c>
      <c r="B693" t="s">
        <v>6563</v>
      </c>
    </row>
    <row r="694" spans="1:2">
      <c r="A694" t="s">
        <v>6775</v>
      </c>
      <c r="B694" t="s">
        <v>6776</v>
      </c>
    </row>
    <row r="695" spans="1:2">
      <c r="A695" t="s">
        <v>6376</v>
      </c>
      <c r="B695" t="s">
        <v>6377</v>
      </c>
    </row>
    <row r="696" spans="1:2">
      <c r="A696" t="s">
        <v>6165</v>
      </c>
      <c r="B696" t="s">
        <v>6166</v>
      </c>
    </row>
    <row r="697" spans="1:2">
      <c r="A697" t="s">
        <v>6636</v>
      </c>
      <c r="B697" t="s">
        <v>6637</v>
      </c>
    </row>
    <row r="698" spans="1:2">
      <c r="A698" t="s">
        <v>6781</v>
      </c>
      <c r="B698" t="s">
        <v>6782</v>
      </c>
    </row>
    <row r="699" spans="1:2">
      <c r="A699" t="s">
        <v>6857</v>
      </c>
      <c r="B699" t="s">
        <v>6858</v>
      </c>
    </row>
    <row r="700" spans="1:2">
      <c r="A700" t="s">
        <v>6354</v>
      </c>
      <c r="B700" t="s">
        <v>6355</v>
      </c>
    </row>
    <row r="701" spans="1:2">
      <c r="A701" t="s">
        <v>6072</v>
      </c>
      <c r="B701" t="s">
        <v>6073</v>
      </c>
    </row>
    <row r="702" spans="1:2">
      <c r="A702" t="s">
        <v>6907</v>
      </c>
      <c r="B702" t="s">
        <v>6908</v>
      </c>
    </row>
    <row r="703" spans="1:2">
      <c r="A703" t="s">
        <v>5723</v>
      </c>
      <c r="B703" t="s">
        <v>5724</v>
      </c>
    </row>
    <row r="704" spans="1:2">
      <c r="A704" t="s">
        <v>7278</v>
      </c>
      <c r="B704" t="s">
        <v>7279</v>
      </c>
    </row>
    <row r="705" spans="1:2">
      <c r="A705" t="s">
        <v>6948</v>
      </c>
      <c r="B705" t="s">
        <v>6949</v>
      </c>
    </row>
    <row r="706" spans="1:2">
      <c r="A706" t="s">
        <v>6924</v>
      </c>
      <c r="B706" t="s">
        <v>9026</v>
      </c>
    </row>
    <row r="707" spans="1:2">
      <c r="A707" t="s">
        <v>7043</v>
      </c>
      <c r="B707" t="s">
        <v>7044</v>
      </c>
    </row>
    <row r="708" spans="1:2">
      <c r="A708" t="s">
        <v>6965</v>
      </c>
      <c r="B708" t="s">
        <v>6966</v>
      </c>
    </row>
    <row r="709" spans="1:2">
      <c r="A709" t="s">
        <v>6785</v>
      </c>
      <c r="B709" t="s">
        <v>6786</v>
      </c>
    </row>
    <row r="710" spans="1:2">
      <c r="A710" t="s">
        <v>7018</v>
      </c>
      <c r="B710" t="s">
        <v>7019</v>
      </c>
    </row>
    <row r="711" spans="1:2">
      <c r="A711" t="s">
        <v>6927</v>
      </c>
      <c r="B711" t="s">
        <v>6928</v>
      </c>
    </row>
    <row r="712" spans="1:2">
      <c r="A712" t="s">
        <v>6973</v>
      </c>
      <c r="B712" t="s">
        <v>6974</v>
      </c>
    </row>
    <row r="713" spans="1:2">
      <c r="A713" t="s">
        <v>6969</v>
      </c>
      <c r="B713" t="s">
        <v>6970</v>
      </c>
    </row>
    <row r="714" spans="1:2">
      <c r="A714" t="s">
        <v>7034</v>
      </c>
      <c r="B714" t="s">
        <v>8920</v>
      </c>
    </row>
    <row r="715" spans="1:2">
      <c r="A715" t="s">
        <v>6892</v>
      </c>
      <c r="B715" t="s">
        <v>6893</v>
      </c>
    </row>
    <row r="716" spans="1:2">
      <c r="A716" t="s">
        <v>6789</v>
      </c>
      <c r="B716" t="s">
        <v>6790</v>
      </c>
    </row>
    <row r="717" spans="1:2">
      <c r="A717" t="s">
        <v>6967</v>
      </c>
      <c r="B717" t="s">
        <v>6968</v>
      </c>
    </row>
    <row r="718" spans="1:2">
      <c r="A718" t="s">
        <v>6975</v>
      </c>
      <c r="B718" t="s">
        <v>6976</v>
      </c>
    </row>
    <row r="719" spans="1:2">
      <c r="A719" t="s">
        <v>6046</v>
      </c>
      <c r="B719" t="s">
        <v>6047</v>
      </c>
    </row>
    <row r="720" spans="1:2">
      <c r="A720" t="s">
        <v>6990</v>
      </c>
      <c r="B720" t="s">
        <v>6991</v>
      </c>
    </row>
    <row r="721" spans="1:2">
      <c r="A721" t="s">
        <v>6963</v>
      </c>
      <c r="B721" t="s">
        <v>6964</v>
      </c>
    </row>
    <row r="722" spans="1:2">
      <c r="A722" t="s">
        <v>6987</v>
      </c>
      <c r="B722" t="s">
        <v>8454</v>
      </c>
    </row>
    <row r="723" spans="1:2">
      <c r="A723" t="s">
        <v>6861</v>
      </c>
      <c r="B723" t="s">
        <v>9076</v>
      </c>
    </row>
    <row r="724" spans="1:2">
      <c r="A724" t="s">
        <v>6958</v>
      </c>
      <c r="B724" t="s">
        <v>9308</v>
      </c>
    </row>
    <row r="725" spans="1:2">
      <c r="A725" t="s">
        <v>6610</v>
      </c>
      <c r="B725" t="s">
        <v>6611</v>
      </c>
    </row>
    <row r="726" spans="1:2">
      <c r="A726" t="s">
        <v>6983</v>
      </c>
      <c r="B726" t="s">
        <v>6984</v>
      </c>
    </row>
    <row r="727" spans="1:2">
      <c r="A727" t="s">
        <v>5719</v>
      </c>
      <c r="B727" t="s">
        <v>8748</v>
      </c>
    </row>
    <row r="728" spans="1:2">
      <c r="A728" t="s">
        <v>6729</v>
      </c>
      <c r="B728" t="s">
        <v>6730</v>
      </c>
    </row>
    <row r="729" spans="1:2">
      <c r="A729" t="s">
        <v>6996</v>
      </c>
      <c r="B729" t="s">
        <v>6997</v>
      </c>
    </row>
    <row r="730" spans="1:2">
      <c r="A730" t="s">
        <v>6618</v>
      </c>
      <c r="B730" t="s">
        <v>6619</v>
      </c>
    </row>
    <row r="731" spans="1:2">
      <c r="A731" t="s">
        <v>5516</v>
      </c>
      <c r="B731" t="s">
        <v>8457</v>
      </c>
    </row>
    <row r="732" spans="1:2">
      <c r="A732" t="s">
        <v>6813</v>
      </c>
      <c r="B732" t="s">
        <v>6814</v>
      </c>
    </row>
    <row r="733" spans="1:2">
      <c r="A733" t="s">
        <v>7139</v>
      </c>
      <c r="B733" t="s">
        <v>8618</v>
      </c>
    </row>
    <row r="734" spans="1:2">
      <c r="A734" t="s">
        <v>6094</v>
      </c>
      <c r="B734" t="s">
        <v>6095</v>
      </c>
    </row>
    <row r="735" spans="1:2">
      <c r="A735" t="s">
        <v>7002</v>
      </c>
      <c r="B735" t="s">
        <v>7003</v>
      </c>
    </row>
    <row r="736" spans="1:2">
      <c r="A736" t="s">
        <v>6981</v>
      </c>
      <c r="B736" t="s">
        <v>6982</v>
      </c>
    </row>
    <row r="737" spans="1:2">
      <c r="A737" t="s">
        <v>6992</v>
      </c>
      <c r="B737" t="s">
        <v>6993</v>
      </c>
    </row>
    <row r="738" spans="1:2">
      <c r="A738" t="s">
        <v>7051</v>
      </c>
      <c r="B738" t="s">
        <v>7052</v>
      </c>
    </row>
    <row r="739" spans="1:2">
      <c r="A739" t="s">
        <v>6841</v>
      </c>
      <c r="B739" t="s">
        <v>6842</v>
      </c>
    </row>
    <row r="740" spans="1:2">
      <c r="A740" t="s">
        <v>7032</v>
      </c>
      <c r="B740" t="s">
        <v>7033</v>
      </c>
    </row>
    <row r="741" spans="1:2">
      <c r="A741" t="s">
        <v>7053</v>
      </c>
      <c r="B741" t="s">
        <v>7054</v>
      </c>
    </row>
    <row r="742" spans="1:2">
      <c r="A742" t="s">
        <v>6269</v>
      </c>
      <c r="B742" t="s">
        <v>6270</v>
      </c>
    </row>
    <row r="743" spans="1:2">
      <c r="A743" t="s">
        <v>7028</v>
      </c>
      <c r="B743" t="s">
        <v>7029</v>
      </c>
    </row>
    <row r="744" spans="1:2">
      <c r="A744" t="s">
        <v>6808</v>
      </c>
      <c r="B744" t="s">
        <v>6809</v>
      </c>
    </row>
    <row r="745" spans="1:2">
      <c r="A745" t="s">
        <v>6918</v>
      </c>
      <c r="B745" t="s">
        <v>6919</v>
      </c>
    </row>
    <row r="746" spans="1:2">
      <c r="A746" t="s">
        <v>6602</v>
      </c>
      <c r="B746" t="s">
        <v>6603</v>
      </c>
    </row>
    <row r="747" spans="1:2">
      <c r="A747" t="s">
        <v>6935</v>
      </c>
      <c r="B747" t="s">
        <v>6936</v>
      </c>
    </row>
    <row r="748" spans="1:2">
      <c r="A748" t="s">
        <v>9546</v>
      </c>
      <c r="B748" t="s">
        <v>9547</v>
      </c>
    </row>
    <row r="749" spans="1:2">
      <c r="A749" t="s">
        <v>6873</v>
      </c>
      <c r="B749" t="s">
        <v>6874</v>
      </c>
    </row>
    <row r="750" spans="1:2">
      <c r="A750" t="s">
        <v>6694</v>
      </c>
      <c r="B750" t="s">
        <v>6695</v>
      </c>
    </row>
    <row r="751" spans="1:2">
      <c r="A751" t="s">
        <v>6920</v>
      </c>
      <c r="B751" t="s">
        <v>6921</v>
      </c>
    </row>
    <row r="752" spans="1:2">
      <c r="A752" t="s">
        <v>7035</v>
      </c>
      <c r="B752" t="s">
        <v>7036</v>
      </c>
    </row>
    <row r="753" spans="1:2">
      <c r="A753" t="s">
        <v>6769</v>
      </c>
      <c r="B753" t="s">
        <v>6770</v>
      </c>
    </row>
    <row r="754" spans="1:2">
      <c r="A754" t="s">
        <v>6994</v>
      </c>
      <c r="B754" t="s">
        <v>6995</v>
      </c>
    </row>
    <row r="755" spans="1:2">
      <c r="A755" t="s">
        <v>6338</v>
      </c>
      <c r="B755" t="s">
        <v>6339</v>
      </c>
    </row>
    <row r="756" spans="1:2">
      <c r="A756" t="s">
        <v>6869</v>
      </c>
      <c r="B756" t="s">
        <v>6870</v>
      </c>
    </row>
    <row r="757" spans="1:2">
      <c r="A757" t="s">
        <v>5846</v>
      </c>
      <c r="B757" t="s">
        <v>5847</v>
      </c>
    </row>
    <row r="758" spans="1:2">
      <c r="A758" t="s">
        <v>6807</v>
      </c>
      <c r="B758" t="s">
        <v>8939</v>
      </c>
    </row>
    <row r="759" spans="1:2">
      <c r="A759" t="s">
        <v>6795</v>
      </c>
      <c r="B759" t="s">
        <v>6796</v>
      </c>
    </row>
    <row r="760" spans="1:2">
      <c r="A760" t="s">
        <v>6883</v>
      </c>
      <c r="B760" t="s">
        <v>6884</v>
      </c>
    </row>
    <row r="761" spans="1:2">
      <c r="A761" t="s">
        <v>6894</v>
      </c>
      <c r="B761" t="s">
        <v>6895</v>
      </c>
    </row>
    <row r="762" spans="1:2">
      <c r="A762" t="s">
        <v>6215</v>
      </c>
      <c r="B762" t="s">
        <v>6216</v>
      </c>
    </row>
    <row r="763" spans="1:2">
      <c r="A763" t="s">
        <v>7499</v>
      </c>
      <c r="B763" t="s">
        <v>7500</v>
      </c>
    </row>
    <row r="764" spans="1:2">
      <c r="A764" t="s">
        <v>7408</v>
      </c>
      <c r="B764" t="s">
        <v>7409</v>
      </c>
    </row>
    <row r="765" spans="1:2">
      <c r="A765" t="s">
        <v>6056</v>
      </c>
      <c r="B765" t="s">
        <v>6057</v>
      </c>
    </row>
    <row r="766" spans="1:2">
      <c r="A766" t="s">
        <v>8779</v>
      </c>
      <c r="B766" t="s">
        <v>8780</v>
      </c>
    </row>
    <row r="767" spans="1:2">
      <c r="A767" t="s">
        <v>7000</v>
      </c>
      <c r="B767" t="s">
        <v>7001</v>
      </c>
    </row>
    <row r="768" spans="1:2">
      <c r="A768" t="s">
        <v>6766</v>
      </c>
      <c r="B768" t="s">
        <v>8956</v>
      </c>
    </row>
    <row r="769" spans="1:2">
      <c r="A769" t="s">
        <v>6998</v>
      </c>
      <c r="B769" t="s">
        <v>6999</v>
      </c>
    </row>
    <row r="770" spans="1:2">
      <c r="A770" t="s">
        <v>6886</v>
      </c>
      <c r="B770" t="s">
        <v>6887</v>
      </c>
    </row>
    <row r="771" spans="1:2">
      <c r="A771" t="s">
        <v>6885</v>
      </c>
      <c r="B771" t="s">
        <v>9173</v>
      </c>
    </row>
    <row r="772" spans="1:2">
      <c r="A772" t="s">
        <v>6943</v>
      </c>
      <c r="B772" t="s">
        <v>8965</v>
      </c>
    </row>
    <row r="773" spans="1:2">
      <c r="A773" t="s">
        <v>7165</v>
      </c>
      <c r="B773" t="s">
        <v>9174</v>
      </c>
    </row>
    <row r="774" spans="1:2">
      <c r="A774" t="s">
        <v>7014</v>
      </c>
      <c r="B774" t="s">
        <v>7015</v>
      </c>
    </row>
    <row r="775" spans="1:2">
      <c r="A775" t="s">
        <v>7020</v>
      </c>
      <c r="B775" t="s">
        <v>7021</v>
      </c>
    </row>
    <row r="776" spans="1:2">
      <c r="A776" t="s">
        <v>7087</v>
      </c>
      <c r="B776" t="s">
        <v>8722</v>
      </c>
    </row>
    <row r="777" spans="1:2">
      <c r="A777" t="s">
        <v>6937</v>
      </c>
      <c r="B777" t="s">
        <v>6938</v>
      </c>
    </row>
    <row r="778" spans="1:2">
      <c r="A778" t="s">
        <v>7026</v>
      </c>
      <c r="B778" t="s">
        <v>7027</v>
      </c>
    </row>
    <row r="779" spans="1:2">
      <c r="A779" t="s">
        <v>6941</v>
      </c>
      <c r="B779" t="s">
        <v>6942</v>
      </c>
    </row>
    <row r="780" spans="1:2">
      <c r="A780" t="s">
        <v>6642</v>
      </c>
      <c r="B780" t="s">
        <v>9396</v>
      </c>
    </row>
    <row r="781" spans="1:2">
      <c r="A781" t="s">
        <v>6914</v>
      </c>
      <c r="B781" t="s">
        <v>6915</v>
      </c>
    </row>
    <row r="782" spans="1:2">
      <c r="A782" t="s">
        <v>7067</v>
      </c>
      <c r="B782" t="s">
        <v>7068</v>
      </c>
    </row>
    <row r="783" spans="1:2">
      <c r="A783" t="s">
        <v>7012</v>
      </c>
      <c r="B783" t="s">
        <v>7013</v>
      </c>
    </row>
    <row r="784" spans="1:2">
      <c r="A784" t="s">
        <v>7097</v>
      </c>
      <c r="B784" t="s">
        <v>9303</v>
      </c>
    </row>
    <row r="785" spans="1:2">
      <c r="A785" t="s">
        <v>6744</v>
      </c>
      <c r="B785" t="s">
        <v>6745</v>
      </c>
    </row>
    <row r="786" spans="1:2">
      <c r="A786" t="s">
        <v>6900</v>
      </c>
      <c r="B786" t="s">
        <v>6901</v>
      </c>
    </row>
    <row r="787" spans="1:2">
      <c r="A787" t="s">
        <v>7022</v>
      </c>
      <c r="B787" t="s">
        <v>7023</v>
      </c>
    </row>
    <row r="788" spans="1:2">
      <c r="A788" t="s">
        <v>7010</v>
      </c>
      <c r="B788" t="s">
        <v>7011</v>
      </c>
    </row>
    <row r="789" spans="1:2">
      <c r="A789" t="s">
        <v>6916</v>
      </c>
      <c r="B789" t="s">
        <v>6917</v>
      </c>
    </row>
    <row r="790" spans="1:2">
      <c r="A790" t="s">
        <v>7121</v>
      </c>
      <c r="B790" t="s">
        <v>7122</v>
      </c>
    </row>
    <row r="791" spans="1:2">
      <c r="A791" t="s">
        <v>7055</v>
      </c>
      <c r="B791" t="s">
        <v>7056</v>
      </c>
    </row>
    <row r="792" spans="1:2">
      <c r="A792" t="s">
        <v>7242</v>
      </c>
      <c r="B792" t="s">
        <v>8927</v>
      </c>
    </row>
    <row r="793" spans="1:2">
      <c r="A793" t="s">
        <v>8590</v>
      </c>
      <c r="B793" t="s">
        <v>9638</v>
      </c>
    </row>
    <row r="794" spans="1:2">
      <c r="A794" t="s">
        <v>8513</v>
      </c>
      <c r="B794" t="s">
        <v>9609</v>
      </c>
    </row>
    <row r="795" spans="1:2">
      <c r="A795" t="s">
        <v>7008</v>
      </c>
      <c r="B795" t="s">
        <v>7009</v>
      </c>
    </row>
    <row r="796" spans="1:2">
      <c r="A796" t="s">
        <v>6103</v>
      </c>
      <c r="B796" t="s">
        <v>6104</v>
      </c>
    </row>
    <row r="797" spans="1:2">
      <c r="A797" t="s">
        <v>5611</v>
      </c>
      <c r="B797" t="s">
        <v>5612</v>
      </c>
    </row>
    <row r="798" spans="1:2">
      <c r="A798" t="s">
        <v>6837</v>
      </c>
      <c r="B798" t="s">
        <v>6838</v>
      </c>
    </row>
    <row r="799" spans="1:2">
      <c r="A799" t="s">
        <v>7383</v>
      </c>
      <c r="B799" t="s">
        <v>7384</v>
      </c>
    </row>
    <row r="800" spans="1:2">
      <c r="A800" t="s">
        <v>7063</v>
      </c>
      <c r="B800" t="s">
        <v>7064</v>
      </c>
    </row>
    <row r="801" spans="1:2">
      <c r="A801" t="s">
        <v>6706</v>
      </c>
      <c r="B801" t="s">
        <v>6707</v>
      </c>
    </row>
    <row r="802" spans="1:2">
      <c r="A802" t="s">
        <v>7222</v>
      </c>
      <c r="B802" t="s">
        <v>7223</v>
      </c>
    </row>
    <row r="803" spans="1:2">
      <c r="A803" t="s">
        <v>7085</v>
      </c>
      <c r="B803" t="s">
        <v>7086</v>
      </c>
    </row>
    <row r="804" spans="1:2">
      <c r="A804" t="s">
        <v>7024</v>
      </c>
      <c r="B804" t="s">
        <v>7025</v>
      </c>
    </row>
    <row r="805" spans="1:2">
      <c r="A805" t="s">
        <v>7123</v>
      </c>
      <c r="B805" t="s">
        <v>7124</v>
      </c>
    </row>
    <row r="806" spans="1:2">
      <c r="A806" t="s">
        <v>7061</v>
      </c>
      <c r="B806" t="s">
        <v>7062</v>
      </c>
    </row>
    <row r="807" spans="1:2">
      <c r="A807" t="s">
        <v>7039</v>
      </c>
      <c r="B807" t="s">
        <v>7040</v>
      </c>
    </row>
    <row r="808" spans="1:2">
      <c r="A808" t="s">
        <v>6830</v>
      </c>
      <c r="B808" t="s">
        <v>6831</v>
      </c>
    </row>
    <row r="809" spans="1:2">
      <c r="A809" t="s">
        <v>7316</v>
      </c>
      <c r="B809" t="s">
        <v>7317</v>
      </c>
    </row>
    <row r="810" spans="1:2">
      <c r="A810" t="s">
        <v>6988</v>
      </c>
      <c r="B810" t="s">
        <v>6989</v>
      </c>
    </row>
    <row r="811" spans="1:2">
      <c r="A811" t="s">
        <v>6017</v>
      </c>
      <c r="B811" t="s">
        <v>6018</v>
      </c>
    </row>
    <row r="812" spans="1:2">
      <c r="A812" t="s">
        <v>7112</v>
      </c>
      <c r="B812" t="s">
        <v>9447</v>
      </c>
    </row>
    <row r="813" spans="1:2">
      <c r="A813" t="s">
        <v>5882</v>
      </c>
      <c r="B813" t="s">
        <v>5883</v>
      </c>
    </row>
    <row r="814" spans="1:2">
      <c r="A814" t="s">
        <v>7065</v>
      </c>
      <c r="B814" t="s">
        <v>7066</v>
      </c>
    </row>
    <row r="815" spans="1:2">
      <c r="A815" t="s">
        <v>7661</v>
      </c>
      <c r="B815" t="s">
        <v>7662</v>
      </c>
    </row>
    <row r="816" spans="1:2">
      <c r="A816" t="s">
        <v>7074</v>
      </c>
      <c r="B816" t="s">
        <v>7075</v>
      </c>
    </row>
    <row r="817" spans="1:2">
      <c r="A817" t="s">
        <v>6704</v>
      </c>
      <c r="B817" t="s">
        <v>6705</v>
      </c>
    </row>
    <row r="818" spans="1:2">
      <c r="A818" t="s">
        <v>6660</v>
      </c>
      <c r="B818" t="s">
        <v>6661</v>
      </c>
    </row>
    <row r="819" spans="1:2">
      <c r="A819" t="s">
        <v>9472</v>
      </c>
      <c r="B819" t="s">
        <v>9473</v>
      </c>
    </row>
    <row r="820" spans="1:2">
      <c r="A820" t="s">
        <v>6748</v>
      </c>
      <c r="B820" t="s">
        <v>6749</v>
      </c>
    </row>
    <row r="821" spans="1:2">
      <c r="A821" t="s">
        <v>6566</v>
      </c>
      <c r="B821" t="s">
        <v>6567</v>
      </c>
    </row>
    <row r="822" spans="1:2">
      <c r="A822" t="s">
        <v>5399</v>
      </c>
      <c r="B822" t="s">
        <v>5400</v>
      </c>
    </row>
    <row r="823" spans="1:2">
      <c r="A823" t="s">
        <v>7041</v>
      </c>
      <c r="B823" t="s">
        <v>7042</v>
      </c>
    </row>
    <row r="824" spans="1:2">
      <c r="A824" t="s">
        <v>7260</v>
      </c>
      <c r="B824" t="s">
        <v>7261</v>
      </c>
    </row>
    <row r="825" spans="1:2">
      <c r="A825" t="s">
        <v>6946</v>
      </c>
      <c r="B825" t="s">
        <v>6947</v>
      </c>
    </row>
    <row r="826" spans="1:2">
      <c r="A826" t="s">
        <v>6201</v>
      </c>
      <c r="B826" t="s">
        <v>6202</v>
      </c>
    </row>
    <row r="827" spans="1:2">
      <c r="A827" t="s">
        <v>5536</v>
      </c>
      <c r="B827" t="s">
        <v>5537</v>
      </c>
    </row>
    <row r="828" spans="1:2">
      <c r="A828" t="s">
        <v>7220</v>
      </c>
      <c r="B828" t="s">
        <v>7221</v>
      </c>
    </row>
    <row r="829" spans="1:2">
      <c r="A829" t="s">
        <v>6445</v>
      </c>
      <c r="B829" t="s">
        <v>6446</v>
      </c>
    </row>
    <row r="830" spans="1:2">
      <c r="A830" t="s">
        <v>6859</v>
      </c>
      <c r="B830" t="s">
        <v>9178</v>
      </c>
    </row>
    <row r="831" spans="1:2">
      <c r="A831" t="s">
        <v>7249</v>
      </c>
      <c r="B831" t="s">
        <v>9515</v>
      </c>
    </row>
    <row r="832" spans="1:2">
      <c r="A832" t="s">
        <v>6793</v>
      </c>
      <c r="B832" t="s">
        <v>6794</v>
      </c>
    </row>
    <row r="833" spans="1:2">
      <c r="A833" t="s">
        <v>7016</v>
      </c>
      <c r="B833" t="s">
        <v>7017</v>
      </c>
    </row>
    <row r="834" spans="1:2">
      <c r="A834" t="s">
        <v>7037</v>
      </c>
      <c r="B834" t="s">
        <v>7038</v>
      </c>
    </row>
    <row r="835" spans="1:2">
      <c r="A835" t="s">
        <v>7191</v>
      </c>
      <c r="B835" t="s">
        <v>8716</v>
      </c>
    </row>
    <row r="836" spans="1:2">
      <c r="A836" t="s">
        <v>7189</v>
      </c>
      <c r="B836" t="s">
        <v>7190</v>
      </c>
    </row>
    <row r="837" spans="1:2">
      <c r="A837" t="s">
        <v>7115</v>
      </c>
      <c r="B837" t="s">
        <v>7116</v>
      </c>
    </row>
    <row r="838" spans="1:2">
      <c r="A838" t="s">
        <v>6725</v>
      </c>
      <c r="B838" t="s">
        <v>6726</v>
      </c>
    </row>
    <row r="839" spans="1:2">
      <c r="A839" t="s">
        <v>7098</v>
      </c>
      <c r="B839" t="s">
        <v>7099</v>
      </c>
    </row>
    <row r="840" spans="1:2">
      <c r="A840" t="s">
        <v>6316</v>
      </c>
      <c r="B840" t="s">
        <v>6317</v>
      </c>
    </row>
    <row r="841" spans="1:2">
      <c r="A841" t="s">
        <v>6985</v>
      </c>
      <c r="B841" t="s">
        <v>6986</v>
      </c>
    </row>
    <row r="842" spans="1:2">
      <c r="A842" t="s">
        <v>6812</v>
      </c>
      <c r="B842" t="s">
        <v>9453</v>
      </c>
    </row>
    <row r="843" spans="1:2">
      <c r="A843" t="s">
        <v>6956</v>
      </c>
      <c r="B843" t="s">
        <v>6957</v>
      </c>
    </row>
    <row r="844" spans="1:2">
      <c r="A844" t="s">
        <v>7162</v>
      </c>
      <c r="B844" t="s">
        <v>8674</v>
      </c>
    </row>
    <row r="845" spans="1:2">
      <c r="A845" t="s">
        <v>7557</v>
      </c>
      <c r="B845" t="s">
        <v>7558</v>
      </c>
    </row>
    <row r="846" spans="1:2">
      <c r="A846" t="s">
        <v>7091</v>
      </c>
      <c r="B846" t="s">
        <v>7092</v>
      </c>
    </row>
    <row r="847" spans="1:2">
      <c r="A847" t="s">
        <v>5527</v>
      </c>
      <c r="B847" t="s">
        <v>8936</v>
      </c>
    </row>
    <row r="848" spans="1:2">
      <c r="A848" t="s">
        <v>7095</v>
      </c>
      <c r="B848" t="s">
        <v>7096</v>
      </c>
    </row>
    <row r="849" spans="1:2">
      <c r="A849" t="s">
        <v>7057</v>
      </c>
      <c r="B849" t="s">
        <v>7058</v>
      </c>
    </row>
    <row r="850" spans="1:2">
      <c r="A850" t="s">
        <v>6424</v>
      </c>
      <c r="B850" t="s">
        <v>6425</v>
      </c>
    </row>
    <row r="851" spans="1:2">
      <c r="A851" t="s">
        <v>6586</v>
      </c>
      <c r="B851" t="s">
        <v>8960</v>
      </c>
    </row>
    <row r="852" spans="1:2">
      <c r="A852" t="s">
        <v>6656</v>
      </c>
      <c r="B852" t="s">
        <v>6657</v>
      </c>
    </row>
    <row r="853" spans="1:2">
      <c r="A853" t="s">
        <v>6867</v>
      </c>
      <c r="B853" t="s">
        <v>6868</v>
      </c>
    </row>
    <row r="854" spans="1:2">
      <c r="A854" t="s">
        <v>6787</v>
      </c>
      <c r="B854" t="s">
        <v>6788</v>
      </c>
    </row>
    <row r="855" spans="1:2">
      <c r="A855" t="s">
        <v>6156</v>
      </c>
      <c r="B855" t="s">
        <v>9397</v>
      </c>
    </row>
    <row r="856" spans="1:2">
      <c r="A856" t="s">
        <v>6801</v>
      </c>
      <c r="B856" t="s">
        <v>6802</v>
      </c>
    </row>
    <row r="857" spans="1:2">
      <c r="A857" t="s">
        <v>6773</v>
      </c>
      <c r="B857" t="s">
        <v>6774</v>
      </c>
    </row>
    <row r="858" spans="1:2">
      <c r="A858" t="s">
        <v>7243</v>
      </c>
      <c r="B858" t="s">
        <v>7244</v>
      </c>
    </row>
    <row r="859" spans="1:2">
      <c r="A859" t="s">
        <v>7270</v>
      </c>
      <c r="B859" t="s">
        <v>7271</v>
      </c>
    </row>
    <row r="860" spans="1:2">
      <c r="A860" t="s">
        <v>7194</v>
      </c>
      <c r="B860" t="s">
        <v>7195</v>
      </c>
    </row>
    <row r="861" spans="1:2">
      <c r="A861" t="s">
        <v>6197</v>
      </c>
      <c r="B861" t="s">
        <v>6198</v>
      </c>
    </row>
    <row r="862" spans="1:2">
      <c r="A862" t="s">
        <v>6645</v>
      </c>
      <c r="B862" t="s">
        <v>6646</v>
      </c>
    </row>
    <row r="863" spans="1:2">
      <c r="A863" t="s">
        <v>6954</v>
      </c>
      <c r="B863" t="s">
        <v>6955</v>
      </c>
    </row>
    <row r="864" spans="1:2">
      <c r="A864" t="s">
        <v>7648</v>
      </c>
      <c r="B864" t="s">
        <v>8925</v>
      </c>
    </row>
    <row r="865" spans="1:2">
      <c r="A865" t="s">
        <v>7069</v>
      </c>
      <c r="B865" t="s">
        <v>9506</v>
      </c>
    </row>
    <row r="866" spans="1:2">
      <c r="A866" t="s">
        <v>7100</v>
      </c>
      <c r="B866" t="s">
        <v>7101</v>
      </c>
    </row>
    <row r="867" spans="1:2">
      <c r="A867" t="s">
        <v>7081</v>
      </c>
      <c r="B867" t="s">
        <v>7082</v>
      </c>
    </row>
    <row r="868" spans="1:2">
      <c r="A868" t="s">
        <v>7117</v>
      </c>
      <c r="B868" t="s">
        <v>7118</v>
      </c>
    </row>
    <row r="869" spans="1:2">
      <c r="A869" t="s">
        <v>7083</v>
      </c>
      <c r="B869" t="s">
        <v>7084</v>
      </c>
    </row>
    <row r="870" spans="1:2">
      <c r="A870" t="s">
        <v>6568</v>
      </c>
      <c r="B870" t="s">
        <v>6569</v>
      </c>
    </row>
    <row r="871" spans="1:2">
      <c r="A871" t="s">
        <v>7305</v>
      </c>
      <c r="B871" t="s">
        <v>7306</v>
      </c>
    </row>
    <row r="872" spans="1:2">
      <c r="A872" t="s">
        <v>7137</v>
      </c>
      <c r="B872" t="s">
        <v>7138</v>
      </c>
    </row>
    <row r="873" spans="1:2">
      <c r="A873" t="s">
        <v>7489</v>
      </c>
      <c r="B873" t="s">
        <v>7490</v>
      </c>
    </row>
    <row r="874" spans="1:2">
      <c r="A874" t="s">
        <v>5898</v>
      </c>
      <c r="B874" t="s">
        <v>5899</v>
      </c>
    </row>
    <row r="875" spans="1:2">
      <c r="A875" t="s">
        <v>7335</v>
      </c>
      <c r="B875" t="s">
        <v>7336</v>
      </c>
    </row>
    <row r="876" spans="1:2">
      <c r="A876" t="s">
        <v>7102</v>
      </c>
      <c r="B876" t="s">
        <v>7103</v>
      </c>
    </row>
    <row r="877" spans="1:2">
      <c r="A877" t="s">
        <v>5760</v>
      </c>
      <c r="B877" t="s">
        <v>5761</v>
      </c>
    </row>
    <row r="878" spans="1:2">
      <c r="A878" t="s">
        <v>5759</v>
      </c>
      <c r="B878" t="s">
        <v>9557</v>
      </c>
    </row>
    <row r="879" spans="1:2">
      <c r="A879" t="s">
        <v>7232</v>
      </c>
      <c r="B879" t="s">
        <v>7233</v>
      </c>
    </row>
    <row r="880" spans="1:2">
      <c r="A880" t="s">
        <v>7059</v>
      </c>
      <c r="B880" t="s">
        <v>7060</v>
      </c>
    </row>
    <row r="881" spans="1:2">
      <c r="A881" t="s">
        <v>7389</v>
      </c>
      <c r="B881" t="s">
        <v>9386</v>
      </c>
    </row>
    <row r="882" spans="1:2">
      <c r="A882" t="s">
        <v>7072</v>
      </c>
      <c r="B882" t="s">
        <v>7073</v>
      </c>
    </row>
    <row r="883" spans="1:2">
      <c r="A883" t="s">
        <v>7205</v>
      </c>
      <c r="B883" t="s">
        <v>7206</v>
      </c>
    </row>
    <row r="884" spans="1:2">
      <c r="A884" t="s">
        <v>7180</v>
      </c>
      <c r="B884" t="s">
        <v>7181</v>
      </c>
    </row>
    <row r="885" spans="1:2">
      <c r="A885" t="s">
        <v>7131</v>
      </c>
      <c r="B885" t="s">
        <v>7132</v>
      </c>
    </row>
    <row r="886" spans="1:2">
      <c r="A886" t="s">
        <v>8514</v>
      </c>
      <c r="B886" t="s">
        <v>9114</v>
      </c>
    </row>
    <row r="887" spans="1:2">
      <c r="A887" t="s">
        <v>7218</v>
      </c>
      <c r="B887" t="s">
        <v>7219</v>
      </c>
    </row>
    <row r="888" spans="1:2">
      <c r="A888" t="s">
        <v>7186</v>
      </c>
      <c r="B888" t="s">
        <v>9626</v>
      </c>
    </row>
    <row r="889" spans="1:2">
      <c r="A889" t="s">
        <v>6715</v>
      </c>
      <c r="B889" t="s">
        <v>6716</v>
      </c>
    </row>
    <row r="890" spans="1:2">
      <c r="A890" t="s">
        <v>5496</v>
      </c>
      <c r="B890" t="s">
        <v>5497</v>
      </c>
    </row>
    <row r="891" spans="1:2">
      <c r="A891" t="s">
        <v>7093</v>
      </c>
      <c r="B891" t="s">
        <v>7094</v>
      </c>
    </row>
    <row r="892" spans="1:2">
      <c r="A892" t="s">
        <v>6643</v>
      </c>
      <c r="B892" t="s">
        <v>6644</v>
      </c>
    </row>
    <row r="893" spans="1:2">
      <c r="A893" t="s">
        <v>5486</v>
      </c>
      <c r="B893" t="s">
        <v>5487</v>
      </c>
    </row>
    <row r="894" spans="1:2">
      <c r="A894" t="s">
        <v>5484</v>
      </c>
      <c r="B894" t="s">
        <v>5485</v>
      </c>
    </row>
    <row r="895" spans="1:2">
      <c r="A895" t="s">
        <v>7677</v>
      </c>
      <c r="B895" t="s">
        <v>9222</v>
      </c>
    </row>
    <row r="896" spans="1:2">
      <c r="A896" t="s">
        <v>7254</v>
      </c>
      <c r="B896" t="s">
        <v>7255</v>
      </c>
    </row>
    <row r="897" spans="1:2">
      <c r="A897" t="s">
        <v>6822</v>
      </c>
      <c r="B897" t="s">
        <v>6823</v>
      </c>
    </row>
    <row r="898" spans="1:2">
      <c r="A898" t="s">
        <v>7414</v>
      </c>
      <c r="B898" t="s">
        <v>7415</v>
      </c>
    </row>
    <row r="899" spans="1:2">
      <c r="A899" t="s">
        <v>7239</v>
      </c>
      <c r="B899" t="s">
        <v>7240</v>
      </c>
    </row>
    <row r="900" spans="1:2">
      <c r="A900" t="s">
        <v>7184</v>
      </c>
      <c r="B900" t="s">
        <v>7185</v>
      </c>
    </row>
    <row r="901" spans="1:2">
      <c r="A901" t="s">
        <v>6282</v>
      </c>
      <c r="B901" t="s">
        <v>6283</v>
      </c>
    </row>
    <row r="902" spans="1:2">
      <c r="A902" t="s">
        <v>7250</v>
      </c>
      <c r="B902" t="s">
        <v>7251</v>
      </c>
    </row>
    <row r="903" spans="1:2">
      <c r="A903" t="s">
        <v>7209</v>
      </c>
      <c r="B903" t="s">
        <v>7210</v>
      </c>
    </row>
    <row r="904" spans="1:2">
      <c r="A904" t="s">
        <v>6952</v>
      </c>
      <c r="B904" t="s">
        <v>6953</v>
      </c>
    </row>
    <row r="905" spans="1:2">
      <c r="A905" t="s">
        <v>7004</v>
      </c>
      <c r="B905" t="s">
        <v>7005</v>
      </c>
    </row>
    <row r="906" spans="1:2">
      <c r="A906" t="s">
        <v>6191</v>
      </c>
      <c r="B906" t="s">
        <v>6192</v>
      </c>
    </row>
    <row r="907" spans="1:2">
      <c r="A907" t="s">
        <v>7211</v>
      </c>
      <c r="B907" t="s">
        <v>7212</v>
      </c>
    </row>
    <row r="908" spans="1:2">
      <c r="A908" t="s">
        <v>7216</v>
      </c>
      <c r="B908" t="s">
        <v>7217</v>
      </c>
    </row>
    <row r="909" spans="1:2">
      <c r="A909" t="s">
        <v>7150</v>
      </c>
      <c r="B909" t="s">
        <v>7151</v>
      </c>
    </row>
    <row r="910" spans="1:2">
      <c r="A910" t="s">
        <v>5975</v>
      </c>
      <c r="B910" t="s">
        <v>5976</v>
      </c>
    </row>
    <row r="911" spans="1:2">
      <c r="A911" t="s">
        <v>7629</v>
      </c>
      <c r="B911" t="s">
        <v>7630</v>
      </c>
    </row>
    <row r="912" spans="1:2">
      <c r="A912" t="s">
        <v>7287</v>
      </c>
      <c r="B912" t="s">
        <v>7288</v>
      </c>
    </row>
    <row r="913" spans="1:2">
      <c r="A913" t="s">
        <v>7385</v>
      </c>
      <c r="B913" t="s">
        <v>7386</v>
      </c>
    </row>
    <row r="914" spans="1:2">
      <c r="A914" t="s">
        <v>7207</v>
      </c>
      <c r="B914" t="s">
        <v>7208</v>
      </c>
    </row>
    <row r="915" spans="1:2">
      <c r="A915" t="s">
        <v>6608</v>
      </c>
      <c r="B915" t="s">
        <v>6609</v>
      </c>
    </row>
    <row r="916" spans="1:2">
      <c r="A916" t="s">
        <v>6913</v>
      </c>
      <c r="B916" t="s">
        <v>9304</v>
      </c>
    </row>
    <row r="917" spans="1:2">
      <c r="A917" t="s">
        <v>7142</v>
      </c>
      <c r="B917" t="s">
        <v>9603</v>
      </c>
    </row>
    <row r="918" spans="1:2">
      <c r="A918" t="s">
        <v>7214</v>
      </c>
      <c r="B918" t="s">
        <v>7215</v>
      </c>
    </row>
    <row r="919" spans="1:2">
      <c r="A919" t="s">
        <v>6052</v>
      </c>
      <c r="B919" t="s">
        <v>6053</v>
      </c>
    </row>
    <row r="920" spans="1:2">
      <c r="A920" t="s">
        <v>7349</v>
      </c>
      <c r="B920" t="s">
        <v>7350</v>
      </c>
    </row>
    <row r="921" spans="1:2">
      <c r="A921" t="s">
        <v>8681</v>
      </c>
      <c r="B921" t="s">
        <v>8682</v>
      </c>
    </row>
    <row r="922" spans="1:2">
      <c r="A922" t="s">
        <v>7438</v>
      </c>
      <c r="B922" t="s">
        <v>7439</v>
      </c>
    </row>
    <row r="923" spans="1:2">
      <c r="A923" t="s">
        <v>7445</v>
      </c>
      <c r="B923" t="s">
        <v>7446</v>
      </c>
    </row>
    <row r="924" spans="1:2">
      <c r="A924" t="s">
        <v>7381</v>
      </c>
      <c r="B924" t="s">
        <v>7382</v>
      </c>
    </row>
    <row r="925" spans="1:2">
      <c r="A925" t="s">
        <v>7113</v>
      </c>
      <c r="B925" t="s">
        <v>7114</v>
      </c>
    </row>
    <row r="926" spans="1:2">
      <c r="A926" t="s">
        <v>7106</v>
      </c>
      <c r="B926" t="s">
        <v>7107</v>
      </c>
    </row>
    <row r="927" spans="1:2">
      <c r="A927" t="s">
        <v>7110</v>
      </c>
      <c r="B927" t="s">
        <v>7111</v>
      </c>
    </row>
    <row r="928" spans="1:2">
      <c r="A928" t="s">
        <v>5836</v>
      </c>
      <c r="B928" t="s">
        <v>5837</v>
      </c>
    </row>
    <row r="929" spans="1:2">
      <c r="A929" t="s">
        <v>6392</v>
      </c>
      <c r="B929" t="s">
        <v>6393</v>
      </c>
    </row>
    <row r="930" spans="1:2">
      <c r="A930" t="s">
        <v>7227</v>
      </c>
      <c r="B930" t="s">
        <v>7228</v>
      </c>
    </row>
    <row r="931" spans="1:2">
      <c r="A931" t="s">
        <v>7108</v>
      </c>
      <c r="B931" t="s">
        <v>7109</v>
      </c>
    </row>
    <row r="932" spans="1:2">
      <c r="A932" t="s">
        <v>7276</v>
      </c>
      <c r="B932" t="s">
        <v>7277</v>
      </c>
    </row>
    <row r="933" spans="1:2">
      <c r="A933" t="s">
        <v>7274</v>
      </c>
      <c r="B933" t="s">
        <v>7275</v>
      </c>
    </row>
    <row r="934" spans="1:2">
      <c r="A934" t="s">
        <v>7226</v>
      </c>
      <c r="B934" t="s">
        <v>9203</v>
      </c>
    </row>
    <row r="935" spans="1:2">
      <c r="A935" t="s">
        <v>7070</v>
      </c>
      <c r="B935" t="s">
        <v>7071</v>
      </c>
    </row>
    <row r="936" spans="1:2">
      <c r="A936" t="s">
        <v>7229</v>
      </c>
      <c r="B936" t="s">
        <v>8749</v>
      </c>
    </row>
    <row r="937" spans="1:2">
      <c r="A937" t="s">
        <v>7390</v>
      </c>
      <c r="B937" t="s">
        <v>7391</v>
      </c>
    </row>
    <row r="938" spans="1:2">
      <c r="A938" t="s">
        <v>7225</v>
      </c>
      <c r="B938" t="s">
        <v>8621</v>
      </c>
    </row>
    <row r="939" spans="1:2">
      <c r="A939" t="s">
        <v>7238</v>
      </c>
      <c r="B939" t="s">
        <v>8624</v>
      </c>
    </row>
    <row r="940" spans="1:2">
      <c r="A940" t="s">
        <v>7160</v>
      </c>
      <c r="B940" t="s">
        <v>7161</v>
      </c>
    </row>
    <row r="941" spans="1:2">
      <c r="A941" t="s">
        <v>7236</v>
      </c>
      <c r="B941" t="s">
        <v>7237</v>
      </c>
    </row>
    <row r="942" spans="1:2">
      <c r="A942" t="s">
        <v>7241</v>
      </c>
      <c r="B942" t="s">
        <v>9352</v>
      </c>
    </row>
    <row r="943" spans="1:2">
      <c r="A943" t="s">
        <v>7493</v>
      </c>
      <c r="B943" t="s">
        <v>7494</v>
      </c>
    </row>
    <row r="944" spans="1:2">
      <c r="A944" t="s">
        <v>6909</v>
      </c>
      <c r="B944" t="s">
        <v>6910</v>
      </c>
    </row>
    <row r="945" spans="1:2">
      <c r="A945" t="s">
        <v>6649</v>
      </c>
      <c r="B945" t="s">
        <v>6650</v>
      </c>
    </row>
    <row r="946" spans="1:2">
      <c r="A946" t="s">
        <v>6390</v>
      </c>
      <c r="B946" t="s">
        <v>6391</v>
      </c>
    </row>
    <row r="947" spans="1:2">
      <c r="A947" t="s">
        <v>7125</v>
      </c>
      <c r="B947" t="s">
        <v>7126</v>
      </c>
    </row>
    <row r="948" spans="1:2">
      <c r="A948" t="s">
        <v>7224</v>
      </c>
      <c r="B948" t="s">
        <v>9257</v>
      </c>
    </row>
    <row r="949" spans="1:2">
      <c r="A949" t="s">
        <v>7230</v>
      </c>
      <c r="B949" t="s">
        <v>7231</v>
      </c>
    </row>
    <row r="950" spans="1:2">
      <c r="A950" t="s">
        <v>7363</v>
      </c>
      <c r="B950" t="s">
        <v>7364</v>
      </c>
    </row>
    <row r="951" spans="1:2">
      <c r="A951" t="s">
        <v>7080</v>
      </c>
      <c r="B951" t="s">
        <v>8614</v>
      </c>
    </row>
    <row r="952" spans="1:2">
      <c r="A952" t="s">
        <v>6767</v>
      </c>
      <c r="B952" t="s">
        <v>6768</v>
      </c>
    </row>
    <row r="953" spans="1:2">
      <c r="A953" t="s">
        <v>7256</v>
      </c>
      <c r="B953" t="s">
        <v>7257</v>
      </c>
    </row>
    <row r="954" spans="1:2">
      <c r="A954" t="s">
        <v>5943</v>
      </c>
      <c r="B954" t="s">
        <v>5944</v>
      </c>
    </row>
    <row r="955" spans="1:2">
      <c r="A955" t="s">
        <v>7262</v>
      </c>
      <c r="B955" t="s">
        <v>7263</v>
      </c>
    </row>
    <row r="956" spans="1:2">
      <c r="A956" t="s">
        <v>7258</v>
      </c>
      <c r="B956" t="s">
        <v>7259</v>
      </c>
    </row>
    <row r="957" spans="1:2">
      <c r="A957" t="s">
        <v>7234</v>
      </c>
      <c r="B957" t="s">
        <v>7235</v>
      </c>
    </row>
    <row r="958" spans="1:2">
      <c r="A958" t="s">
        <v>5438</v>
      </c>
      <c r="B958" t="s">
        <v>5439</v>
      </c>
    </row>
    <row r="959" spans="1:2">
      <c r="A959" t="s">
        <v>6719</v>
      </c>
      <c r="B959" t="s">
        <v>6720</v>
      </c>
    </row>
    <row r="960" spans="1:2">
      <c r="A960" t="s">
        <v>7333</v>
      </c>
      <c r="B960" t="s">
        <v>7334</v>
      </c>
    </row>
    <row r="961" spans="1:2">
      <c r="A961" t="s">
        <v>7344</v>
      </c>
      <c r="B961" t="s">
        <v>8942</v>
      </c>
    </row>
    <row r="962" spans="1:2">
      <c r="A962" t="s">
        <v>7166</v>
      </c>
      <c r="B962" t="s">
        <v>7167</v>
      </c>
    </row>
    <row r="963" spans="1:2">
      <c r="A963" t="s">
        <v>7265</v>
      </c>
      <c r="B963" t="s">
        <v>7266</v>
      </c>
    </row>
    <row r="964" spans="1:2">
      <c r="A964" t="s">
        <v>7252</v>
      </c>
      <c r="B964" t="s">
        <v>7253</v>
      </c>
    </row>
    <row r="965" spans="1:2">
      <c r="A965" t="s">
        <v>9375</v>
      </c>
      <c r="B965" t="s">
        <v>9376</v>
      </c>
    </row>
    <row r="966" spans="1:2">
      <c r="A966" t="s">
        <v>7272</v>
      </c>
      <c r="B966" t="s">
        <v>7273</v>
      </c>
    </row>
    <row r="967" spans="1:2">
      <c r="A967" t="s">
        <v>7197</v>
      </c>
      <c r="B967" t="s">
        <v>7198</v>
      </c>
    </row>
    <row r="968" spans="1:2">
      <c r="A968" t="s">
        <v>6654</v>
      </c>
      <c r="B968" t="s">
        <v>6655</v>
      </c>
    </row>
    <row r="969" spans="1:2">
      <c r="A969" t="s">
        <v>8599</v>
      </c>
      <c r="B969" t="s">
        <v>8600</v>
      </c>
    </row>
    <row r="970" spans="1:2">
      <c r="A970" t="s">
        <v>7539</v>
      </c>
      <c r="B970" t="s">
        <v>7540</v>
      </c>
    </row>
    <row r="971" spans="1:2">
      <c r="A971" t="s">
        <v>7245</v>
      </c>
      <c r="B971" t="s">
        <v>7246</v>
      </c>
    </row>
    <row r="972" spans="1:2">
      <c r="A972" t="s">
        <v>7119</v>
      </c>
      <c r="B972" t="s">
        <v>7120</v>
      </c>
    </row>
    <row r="973" spans="1:2">
      <c r="A973" t="s">
        <v>7172</v>
      </c>
      <c r="B973" t="s">
        <v>7173</v>
      </c>
    </row>
    <row r="974" spans="1:2">
      <c r="A974" t="s">
        <v>6820</v>
      </c>
      <c r="B974" t="s">
        <v>6821</v>
      </c>
    </row>
    <row r="975" spans="1:2">
      <c r="A975" t="s">
        <v>7152</v>
      </c>
      <c r="B975" t="s">
        <v>7153</v>
      </c>
    </row>
    <row r="976" spans="1:2">
      <c r="A976" t="s">
        <v>6612</v>
      </c>
      <c r="B976" t="s">
        <v>6613</v>
      </c>
    </row>
    <row r="977" spans="1:2">
      <c r="A977" t="s">
        <v>6881</v>
      </c>
      <c r="B977" t="s">
        <v>6882</v>
      </c>
    </row>
    <row r="978" spans="1:2">
      <c r="A978" t="s">
        <v>7282</v>
      </c>
      <c r="B978" t="s">
        <v>7283</v>
      </c>
    </row>
    <row r="979" spans="1:2">
      <c r="A979" t="s">
        <v>6746</v>
      </c>
      <c r="B979" t="s">
        <v>6747</v>
      </c>
    </row>
    <row r="980" spans="1:2">
      <c r="A980" t="s">
        <v>8503</v>
      </c>
      <c r="B980" t="s">
        <v>8504</v>
      </c>
    </row>
    <row r="981" spans="1:2">
      <c r="A981" t="s">
        <v>7213</v>
      </c>
      <c r="B981" t="s">
        <v>8576</v>
      </c>
    </row>
    <row r="982" spans="1:2">
      <c r="A982" t="s">
        <v>7143</v>
      </c>
      <c r="B982" t="s">
        <v>9569</v>
      </c>
    </row>
    <row r="983" spans="1:2">
      <c r="A983" t="s">
        <v>7289</v>
      </c>
      <c r="B983" t="s">
        <v>9492</v>
      </c>
    </row>
    <row r="984" spans="1:2">
      <c r="A984" t="s">
        <v>7563</v>
      </c>
      <c r="B984" t="s">
        <v>7564</v>
      </c>
    </row>
    <row r="985" spans="1:2">
      <c r="A985" t="s">
        <v>6931</v>
      </c>
      <c r="B985" t="s">
        <v>6932</v>
      </c>
    </row>
    <row r="986" spans="1:2">
      <c r="A986" t="s">
        <v>7104</v>
      </c>
      <c r="B986" t="s">
        <v>8916</v>
      </c>
    </row>
    <row r="987" spans="1:2">
      <c r="A987" t="s">
        <v>7284</v>
      </c>
      <c r="B987" t="s">
        <v>7285</v>
      </c>
    </row>
    <row r="988" spans="1:2">
      <c r="A988" t="s">
        <v>6750</v>
      </c>
      <c r="B988" t="s">
        <v>6751</v>
      </c>
    </row>
    <row r="989" spans="1:2">
      <c r="A989" t="s">
        <v>7267</v>
      </c>
      <c r="B989" t="s">
        <v>7268</v>
      </c>
    </row>
    <row r="990" spans="1:2">
      <c r="A990" t="s">
        <v>7301</v>
      </c>
      <c r="B990" t="s">
        <v>7302</v>
      </c>
    </row>
    <row r="991" spans="1:2">
      <c r="A991" t="s">
        <v>7341</v>
      </c>
      <c r="B991" t="s">
        <v>9617</v>
      </c>
    </row>
    <row r="992" spans="1:2">
      <c r="A992" t="s">
        <v>6143</v>
      </c>
      <c r="B992" t="s">
        <v>6144</v>
      </c>
    </row>
    <row r="993" spans="1:2">
      <c r="A993" t="s">
        <v>7309</v>
      </c>
      <c r="B993" t="s">
        <v>7310</v>
      </c>
    </row>
    <row r="994" spans="1:2">
      <c r="A994" t="s">
        <v>7319</v>
      </c>
      <c r="B994" t="s">
        <v>7320</v>
      </c>
    </row>
    <row r="995" spans="1:2">
      <c r="A995" t="s">
        <v>9528</v>
      </c>
      <c r="B995" t="s">
        <v>9529</v>
      </c>
    </row>
    <row r="996" spans="1:2">
      <c r="A996" t="s">
        <v>7318</v>
      </c>
      <c r="B996" t="s">
        <v>8985</v>
      </c>
    </row>
    <row r="997" spans="1:2">
      <c r="A997" t="s">
        <v>6862</v>
      </c>
      <c r="B997" t="s">
        <v>6863</v>
      </c>
    </row>
    <row r="998" spans="1:2">
      <c r="A998" t="s">
        <v>8545</v>
      </c>
      <c r="B998" t="s">
        <v>8546</v>
      </c>
    </row>
    <row r="999" spans="1:2">
      <c r="A999" t="s">
        <v>7292</v>
      </c>
      <c r="B999" t="s">
        <v>7293</v>
      </c>
    </row>
    <row r="1000" spans="1:2">
      <c r="A1000" t="s">
        <v>7313</v>
      </c>
      <c r="B1000" t="s">
        <v>7314</v>
      </c>
    </row>
    <row r="1001" spans="1:2">
      <c r="A1001" t="s">
        <v>6828</v>
      </c>
      <c r="B1001" t="s">
        <v>6829</v>
      </c>
    </row>
    <row r="1002" spans="1:2">
      <c r="A1002" t="s">
        <v>7196</v>
      </c>
      <c r="B1002" t="s">
        <v>8781</v>
      </c>
    </row>
    <row r="1003" spans="1:2">
      <c r="A1003" t="s">
        <v>7176</v>
      </c>
      <c r="B1003" t="s">
        <v>8958</v>
      </c>
    </row>
    <row r="1004" spans="1:2">
      <c r="A1004" t="s">
        <v>7535</v>
      </c>
      <c r="B1004" t="s">
        <v>7536</v>
      </c>
    </row>
    <row r="1005" spans="1:2">
      <c r="A1005" t="s">
        <v>7174</v>
      </c>
      <c r="B1005" t="s">
        <v>7175</v>
      </c>
    </row>
    <row r="1006" spans="1:2">
      <c r="A1006" t="s">
        <v>7030</v>
      </c>
      <c r="B1006" t="s">
        <v>7031</v>
      </c>
    </row>
    <row r="1007" spans="1:2">
      <c r="A1007" t="s">
        <v>7401</v>
      </c>
      <c r="B1007" t="s">
        <v>7402</v>
      </c>
    </row>
    <row r="1008" spans="1:2">
      <c r="A1008" t="s">
        <v>7521</v>
      </c>
      <c r="B1008" t="s">
        <v>9574</v>
      </c>
    </row>
    <row r="1009" spans="1:2">
      <c r="A1009" t="s">
        <v>8490</v>
      </c>
      <c r="B1009" t="s">
        <v>8491</v>
      </c>
    </row>
    <row r="1010" spans="1:2">
      <c r="A1010" t="s">
        <v>7589</v>
      </c>
      <c r="B1010" t="s">
        <v>7590</v>
      </c>
    </row>
    <row r="1011" spans="1:2">
      <c r="A1011" t="s">
        <v>6754</v>
      </c>
      <c r="B1011" t="s">
        <v>6755</v>
      </c>
    </row>
    <row r="1012" spans="1:2">
      <c r="A1012" t="s">
        <v>7299</v>
      </c>
      <c r="B1012" t="s">
        <v>7300</v>
      </c>
    </row>
    <row r="1013" spans="1:2">
      <c r="A1013" t="s">
        <v>6320</v>
      </c>
      <c r="B1013" t="s">
        <v>6321</v>
      </c>
    </row>
    <row r="1014" spans="1:2">
      <c r="A1014" t="s">
        <v>6179</v>
      </c>
      <c r="B1014" t="s">
        <v>6180</v>
      </c>
    </row>
    <row r="1015" spans="1:2">
      <c r="A1015" t="s">
        <v>7387</v>
      </c>
      <c r="B1015" t="s">
        <v>7388</v>
      </c>
    </row>
    <row r="1016" spans="1:2">
      <c r="A1016" t="s">
        <v>7264</v>
      </c>
      <c r="B1016" t="s">
        <v>9214</v>
      </c>
    </row>
    <row r="1017" spans="1:2">
      <c r="A1017" t="s">
        <v>6799</v>
      </c>
      <c r="B1017" t="s">
        <v>6800</v>
      </c>
    </row>
    <row r="1018" spans="1:2">
      <c r="A1018" t="s">
        <v>7457</v>
      </c>
      <c r="B1018" t="s">
        <v>7458</v>
      </c>
    </row>
    <row r="1019" spans="1:2">
      <c r="A1019" t="s">
        <v>7416</v>
      </c>
      <c r="B1019" t="s">
        <v>7417</v>
      </c>
    </row>
    <row r="1020" spans="1:2">
      <c r="A1020" t="s">
        <v>7269</v>
      </c>
      <c r="B1020" t="s">
        <v>9014</v>
      </c>
    </row>
    <row r="1021" spans="1:2">
      <c r="A1021" t="s">
        <v>7425</v>
      </c>
      <c r="B1021" t="s">
        <v>7426</v>
      </c>
    </row>
    <row r="1022" spans="1:2">
      <c r="A1022" t="s">
        <v>7404</v>
      </c>
      <c r="B1022" t="s">
        <v>7405</v>
      </c>
    </row>
    <row r="1023" spans="1:2">
      <c r="A1023" t="s">
        <v>7403</v>
      </c>
      <c r="B1023" t="s">
        <v>8938</v>
      </c>
    </row>
    <row r="1024" spans="1:2">
      <c r="A1024" t="s">
        <v>7371</v>
      </c>
      <c r="B1024" t="s">
        <v>7372</v>
      </c>
    </row>
    <row r="1025" spans="1:2">
      <c r="A1025" t="s">
        <v>7505</v>
      </c>
      <c r="B1025" t="s">
        <v>7506</v>
      </c>
    </row>
    <row r="1026" spans="1:2">
      <c r="A1026" t="s">
        <v>7487</v>
      </c>
      <c r="B1026" t="s">
        <v>7488</v>
      </c>
    </row>
    <row r="1027" spans="1:2">
      <c r="A1027" t="s">
        <v>7192</v>
      </c>
      <c r="B1027" t="s">
        <v>7193</v>
      </c>
    </row>
    <row r="1028" spans="1:2">
      <c r="A1028" t="s">
        <v>7412</v>
      </c>
      <c r="B1028" t="s">
        <v>7413</v>
      </c>
    </row>
    <row r="1029" spans="1:2">
      <c r="A1029" t="s">
        <v>7339</v>
      </c>
      <c r="B1029" t="s">
        <v>7340</v>
      </c>
    </row>
    <row r="1030" spans="1:2">
      <c r="A1030" t="s">
        <v>7410</v>
      </c>
      <c r="B1030" t="s">
        <v>7411</v>
      </c>
    </row>
    <row r="1031" spans="1:2">
      <c r="A1031" t="s">
        <v>7290</v>
      </c>
      <c r="B1031" t="s">
        <v>8617</v>
      </c>
    </row>
    <row r="1032" spans="1:2">
      <c r="A1032" t="s">
        <v>7247</v>
      </c>
      <c r="B1032" t="s">
        <v>7248</v>
      </c>
    </row>
    <row r="1033" spans="1:2">
      <c r="A1033" t="s">
        <v>7280</v>
      </c>
      <c r="B1033" t="s">
        <v>7281</v>
      </c>
    </row>
    <row r="1034" spans="1:2">
      <c r="A1034" t="s">
        <v>7352</v>
      </c>
      <c r="B1034" t="s">
        <v>7353</v>
      </c>
    </row>
    <row r="1035" spans="1:2">
      <c r="A1035" t="s">
        <v>8450</v>
      </c>
      <c r="B1035" t="s">
        <v>8451</v>
      </c>
    </row>
    <row r="1036" spans="1:2">
      <c r="A1036" t="s">
        <v>6815</v>
      </c>
      <c r="B1036" t="s">
        <v>6816</v>
      </c>
    </row>
    <row r="1037" spans="1:2">
      <c r="A1037" t="s">
        <v>6628</v>
      </c>
      <c r="B1037" t="s">
        <v>6629</v>
      </c>
    </row>
    <row r="1038" spans="1:2">
      <c r="A1038" t="s">
        <v>6731</v>
      </c>
      <c r="B1038" t="s">
        <v>6732</v>
      </c>
    </row>
    <row r="1039" spans="1:2">
      <c r="A1039" t="s">
        <v>7423</v>
      </c>
      <c r="B1039" t="s">
        <v>7424</v>
      </c>
    </row>
    <row r="1040" spans="1:2">
      <c r="A1040" t="s">
        <v>7090</v>
      </c>
      <c r="B1040" t="s">
        <v>8806</v>
      </c>
    </row>
    <row r="1041" spans="1:2">
      <c r="A1041" t="s">
        <v>7351</v>
      </c>
      <c r="B1041" t="s">
        <v>9046</v>
      </c>
    </row>
    <row r="1042" spans="1:2">
      <c r="A1042" t="s">
        <v>7331</v>
      </c>
      <c r="B1042" t="s">
        <v>7332</v>
      </c>
    </row>
    <row r="1043" spans="1:2">
      <c r="A1043" t="s">
        <v>7419</v>
      </c>
      <c r="B1043" t="s">
        <v>7420</v>
      </c>
    </row>
    <row r="1044" spans="1:2">
      <c r="A1044" t="s">
        <v>7379</v>
      </c>
      <c r="B1044" t="s">
        <v>9485</v>
      </c>
    </row>
    <row r="1045" spans="1:2">
      <c r="A1045" t="s">
        <v>7127</v>
      </c>
      <c r="B1045" t="s">
        <v>7128</v>
      </c>
    </row>
    <row r="1046" spans="1:2">
      <c r="A1046" t="s">
        <v>7182</v>
      </c>
      <c r="B1046" t="s">
        <v>7183</v>
      </c>
    </row>
    <row r="1047" spans="1:2">
      <c r="A1047" t="s">
        <v>6668</v>
      </c>
      <c r="B1047" t="s">
        <v>6669</v>
      </c>
    </row>
    <row r="1048" spans="1:2">
      <c r="A1048" t="s">
        <v>7533</v>
      </c>
      <c r="B1048" t="s">
        <v>7534</v>
      </c>
    </row>
    <row r="1049" spans="1:2">
      <c r="A1049" t="s">
        <v>7006</v>
      </c>
      <c r="B1049" t="s">
        <v>7007</v>
      </c>
    </row>
    <row r="1050" spans="1:2">
      <c r="A1050" t="s">
        <v>9572</v>
      </c>
      <c r="B1050" t="s">
        <v>9573</v>
      </c>
    </row>
    <row r="1051" spans="1:2">
      <c r="A1051" t="s">
        <v>7818</v>
      </c>
      <c r="B1051" t="s">
        <v>7819</v>
      </c>
    </row>
    <row r="1052" spans="1:2">
      <c r="A1052" t="s">
        <v>7443</v>
      </c>
      <c r="B1052" t="s">
        <v>7444</v>
      </c>
    </row>
    <row r="1053" spans="1:2">
      <c r="A1053" t="s">
        <v>7522</v>
      </c>
      <c r="B1053" t="s">
        <v>7523</v>
      </c>
    </row>
    <row r="1054" spans="1:2">
      <c r="A1054" t="s">
        <v>7378</v>
      </c>
      <c r="B1054" t="s">
        <v>8951</v>
      </c>
    </row>
    <row r="1055" spans="1:2">
      <c r="A1055" t="s">
        <v>7342</v>
      </c>
      <c r="B1055" t="s">
        <v>7343</v>
      </c>
    </row>
    <row r="1056" spans="1:2">
      <c r="A1056" t="s">
        <v>9415</v>
      </c>
      <c r="B1056" t="s">
        <v>9416</v>
      </c>
    </row>
    <row r="1057" spans="1:2">
      <c r="A1057" t="s">
        <v>7447</v>
      </c>
      <c r="B1057" t="s">
        <v>9320</v>
      </c>
    </row>
    <row r="1058" spans="1:2">
      <c r="A1058" t="s">
        <v>7432</v>
      </c>
      <c r="B1058" t="s">
        <v>7433</v>
      </c>
    </row>
    <row r="1059" spans="1:2">
      <c r="A1059" t="s">
        <v>7440</v>
      </c>
      <c r="B1059" t="s">
        <v>7441</v>
      </c>
    </row>
    <row r="1060" spans="1:2">
      <c r="A1060" t="s">
        <v>7686</v>
      </c>
      <c r="B1060" t="s">
        <v>7687</v>
      </c>
    </row>
    <row r="1061" spans="1:2">
      <c r="A1061" t="s">
        <v>7146</v>
      </c>
      <c r="B1061" t="s">
        <v>7147</v>
      </c>
    </row>
    <row r="1062" spans="1:2">
      <c r="A1062" t="s">
        <v>7294</v>
      </c>
      <c r="B1062" t="s">
        <v>7295</v>
      </c>
    </row>
    <row r="1063" spans="1:2">
      <c r="A1063" t="s">
        <v>9314</v>
      </c>
      <c r="B1063" t="s">
        <v>9315</v>
      </c>
    </row>
    <row r="1064" spans="1:2">
      <c r="A1064" t="s">
        <v>7393</v>
      </c>
      <c r="B1064" t="s">
        <v>7394</v>
      </c>
    </row>
    <row r="1065" spans="1:2">
      <c r="A1065" t="s">
        <v>7199</v>
      </c>
      <c r="B1065" t="s">
        <v>7200</v>
      </c>
    </row>
    <row r="1066" spans="1:2">
      <c r="A1066" t="s">
        <v>6911</v>
      </c>
      <c r="B1066" t="s">
        <v>6912</v>
      </c>
    </row>
    <row r="1067" spans="1:2">
      <c r="A1067" t="s">
        <v>7455</v>
      </c>
      <c r="B1067" t="s">
        <v>9446</v>
      </c>
    </row>
    <row r="1068" spans="1:2">
      <c r="A1068" t="s">
        <v>6274</v>
      </c>
      <c r="B1068" t="s">
        <v>6275</v>
      </c>
    </row>
    <row r="1069" spans="1:2">
      <c r="A1069" t="s">
        <v>7469</v>
      </c>
      <c r="B1069" t="s">
        <v>7470</v>
      </c>
    </row>
    <row r="1070" spans="1:2">
      <c r="A1070" t="s">
        <v>6961</v>
      </c>
      <c r="B1070" t="s">
        <v>6962</v>
      </c>
    </row>
    <row r="1071" spans="1:2">
      <c r="A1071" t="s">
        <v>7369</v>
      </c>
      <c r="B1071" t="s">
        <v>7370</v>
      </c>
    </row>
    <row r="1072" spans="1:2">
      <c r="A1072" t="s">
        <v>7450</v>
      </c>
      <c r="B1072" t="s">
        <v>8940</v>
      </c>
    </row>
    <row r="1073" spans="1:2">
      <c r="A1073" t="s">
        <v>7427</v>
      </c>
      <c r="B1073" t="s">
        <v>7428</v>
      </c>
    </row>
    <row r="1074" spans="1:2">
      <c r="A1074" t="s">
        <v>5991</v>
      </c>
      <c r="B1074" t="s">
        <v>5992</v>
      </c>
    </row>
    <row r="1075" spans="1:2">
      <c r="A1075" t="s">
        <v>9380</v>
      </c>
      <c r="B1075" t="s">
        <v>9381</v>
      </c>
    </row>
    <row r="1076" spans="1:2">
      <c r="A1076" t="s">
        <v>5693</v>
      </c>
      <c r="B1076" t="s">
        <v>5694</v>
      </c>
    </row>
    <row r="1077" spans="1:2">
      <c r="A1077" t="s">
        <v>7448</v>
      </c>
      <c r="B1077" t="s">
        <v>7449</v>
      </c>
    </row>
    <row r="1078" spans="1:2">
      <c r="A1078" t="s">
        <v>7434</v>
      </c>
      <c r="B1078" t="s">
        <v>7435</v>
      </c>
    </row>
    <row r="1079" spans="1:2">
      <c r="A1079" t="s">
        <v>7133</v>
      </c>
      <c r="B1079" t="s">
        <v>7134</v>
      </c>
    </row>
    <row r="1080" spans="1:2">
      <c r="A1080" t="s">
        <v>7465</v>
      </c>
      <c r="B1080" t="s">
        <v>7466</v>
      </c>
    </row>
    <row r="1081" spans="1:2">
      <c r="A1081" t="s">
        <v>6929</v>
      </c>
      <c r="B1081" t="s">
        <v>6930</v>
      </c>
    </row>
    <row r="1082" spans="1:2">
      <c r="A1082" t="s">
        <v>7456</v>
      </c>
      <c r="B1082" t="s">
        <v>9010</v>
      </c>
    </row>
    <row r="1083" spans="1:2">
      <c r="A1083" t="s">
        <v>7088</v>
      </c>
      <c r="B1083" t="s">
        <v>7089</v>
      </c>
    </row>
    <row r="1084" spans="1:2">
      <c r="A1084" t="s">
        <v>6717</v>
      </c>
      <c r="B1084" t="s">
        <v>6718</v>
      </c>
    </row>
    <row r="1085" spans="1:2">
      <c r="A1085" t="s">
        <v>7453</v>
      </c>
      <c r="B1085" t="s">
        <v>7454</v>
      </c>
    </row>
    <row r="1086" spans="1:2">
      <c r="A1086" t="s">
        <v>8522</v>
      </c>
      <c r="B1086" t="s">
        <v>8523</v>
      </c>
    </row>
    <row r="1087" spans="1:2">
      <c r="A1087" t="s">
        <v>7451</v>
      </c>
      <c r="B1087" t="s">
        <v>7452</v>
      </c>
    </row>
    <row r="1088" spans="1:2">
      <c r="A1088" t="s">
        <v>7429</v>
      </c>
      <c r="B1088" t="s">
        <v>9548</v>
      </c>
    </row>
    <row r="1089" spans="1:2">
      <c r="A1089" t="s">
        <v>6797</v>
      </c>
      <c r="B1089" t="s">
        <v>6798</v>
      </c>
    </row>
    <row r="1090" spans="1:2">
      <c r="A1090" t="s">
        <v>7154</v>
      </c>
      <c r="B1090" t="s">
        <v>7155</v>
      </c>
    </row>
    <row r="1091" spans="1:2">
      <c r="A1091" t="s">
        <v>6329</v>
      </c>
      <c r="B1091" t="s">
        <v>9133</v>
      </c>
    </row>
    <row r="1092" spans="1:2">
      <c r="A1092" t="s">
        <v>7325</v>
      </c>
      <c r="B1092" t="s">
        <v>7326</v>
      </c>
    </row>
    <row r="1093" spans="1:2">
      <c r="A1093" t="s">
        <v>6817</v>
      </c>
      <c r="B1093" t="s">
        <v>8588</v>
      </c>
    </row>
    <row r="1094" spans="1:2">
      <c r="A1094" t="s">
        <v>6803</v>
      </c>
      <c r="B1094" t="s">
        <v>6804</v>
      </c>
    </row>
    <row r="1095" spans="1:2">
      <c r="A1095" t="s">
        <v>7529</v>
      </c>
      <c r="B1095" t="s">
        <v>7530</v>
      </c>
    </row>
    <row r="1096" spans="1:2">
      <c r="A1096" t="s">
        <v>9470</v>
      </c>
      <c r="B1096" t="s">
        <v>9471</v>
      </c>
    </row>
    <row r="1097" spans="1:2">
      <c r="A1097" t="s">
        <v>7418</v>
      </c>
      <c r="B1097" t="s">
        <v>9138</v>
      </c>
    </row>
    <row r="1098" spans="1:2">
      <c r="A1098" t="s">
        <v>7392</v>
      </c>
      <c r="B1098" t="s">
        <v>8733</v>
      </c>
    </row>
    <row r="1099" spans="1:2">
      <c r="A1099" t="s">
        <v>7479</v>
      </c>
      <c r="B1099" t="s">
        <v>7480</v>
      </c>
    </row>
    <row r="1100" spans="1:2">
      <c r="A1100" t="s">
        <v>7140</v>
      </c>
      <c r="B1100" t="s">
        <v>7141</v>
      </c>
    </row>
    <row r="1101" spans="1:2">
      <c r="A1101" t="s">
        <v>6939</v>
      </c>
      <c r="B1101" t="s">
        <v>6940</v>
      </c>
    </row>
    <row r="1102" spans="1:2">
      <c r="A1102" t="s">
        <v>7397</v>
      </c>
      <c r="B1102" t="s">
        <v>7398</v>
      </c>
    </row>
    <row r="1103" spans="1:2">
      <c r="A1103" t="s">
        <v>6925</v>
      </c>
      <c r="B1103" t="s">
        <v>6926</v>
      </c>
    </row>
    <row r="1104" spans="1:2">
      <c r="A1104" t="s">
        <v>6922</v>
      </c>
      <c r="B1104" t="s">
        <v>6923</v>
      </c>
    </row>
    <row r="1105" spans="1:2">
      <c r="A1105" t="s">
        <v>7148</v>
      </c>
      <c r="B1105" t="s">
        <v>7149</v>
      </c>
    </row>
    <row r="1106" spans="1:2">
      <c r="A1106" t="s">
        <v>7170</v>
      </c>
      <c r="B1106" t="s">
        <v>7171</v>
      </c>
    </row>
    <row r="1107" spans="1:2">
      <c r="A1107" t="s">
        <v>7467</v>
      </c>
      <c r="B1107" t="s">
        <v>7468</v>
      </c>
    </row>
    <row r="1108" spans="1:2">
      <c r="A1108" t="s">
        <v>7442</v>
      </c>
      <c r="B1108" t="s">
        <v>8670</v>
      </c>
    </row>
    <row r="1109" spans="1:2">
      <c r="A1109" t="s">
        <v>7461</v>
      </c>
      <c r="B1109" t="s">
        <v>7462</v>
      </c>
    </row>
    <row r="1110" spans="1:2">
      <c r="A1110" t="s">
        <v>8551</v>
      </c>
      <c r="B1110" t="s">
        <v>8552</v>
      </c>
    </row>
    <row r="1111" spans="1:2">
      <c r="A1111" t="s">
        <v>6760</v>
      </c>
      <c r="B1111" t="s">
        <v>6761</v>
      </c>
    </row>
    <row r="1112" spans="1:2">
      <c r="A1112" t="s">
        <v>7473</v>
      </c>
      <c r="B1112" t="s">
        <v>7474</v>
      </c>
    </row>
    <row r="1113" spans="1:2">
      <c r="A1113" t="s">
        <v>7463</v>
      </c>
      <c r="B1113" t="s">
        <v>7464</v>
      </c>
    </row>
    <row r="1114" spans="1:2">
      <c r="A1114" t="s">
        <v>7567</v>
      </c>
      <c r="B1114" t="s">
        <v>8487</v>
      </c>
    </row>
    <row r="1115" spans="1:2">
      <c r="A1115" t="s">
        <v>5517</v>
      </c>
      <c r="B1115" t="s">
        <v>8613</v>
      </c>
    </row>
    <row r="1116" spans="1:2">
      <c r="A1116" t="s">
        <v>7616</v>
      </c>
      <c r="B1116" t="s">
        <v>7617</v>
      </c>
    </row>
    <row r="1117" spans="1:2">
      <c r="A1117" t="s">
        <v>7515</v>
      </c>
      <c r="B1117" t="s">
        <v>7516</v>
      </c>
    </row>
    <row r="1118" spans="1:2">
      <c r="A1118" t="s">
        <v>6181</v>
      </c>
      <c r="B1118" t="s">
        <v>6182</v>
      </c>
    </row>
    <row r="1119" spans="1:2">
      <c r="A1119" t="s">
        <v>7360</v>
      </c>
      <c r="B1119" t="s">
        <v>8527</v>
      </c>
    </row>
    <row r="1120" spans="1:2">
      <c r="A1120" t="s">
        <v>6875</v>
      </c>
      <c r="B1120" t="s">
        <v>6876</v>
      </c>
    </row>
    <row r="1121" spans="1:2">
      <c r="A1121" t="s">
        <v>7503</v>
      </c>
      <c r="B1121" t="s">
        <v>7504</v>
      </c>
    </row>
    <row r="1122" spans="1:2">
      <c r="A1122" t="s">
        <v>7561</v>
      </c>
      <c r="B1122" t="s">
        <v>7562</v>
      </c>
    </row>
    <row r="1123" spans="1:2">
      <c r="A1123" t="s">
        <v>6674</v>
      </c>
      <c r="B1123" t="s">
        <v>6675</v>
      </c>
    </row>
    <row r="1124" spans="1:2">
      <c r="A1124" t="s">
        <v>7354</v>
      </c>
      <c r="B1124" t="s">
        <v>7355</v>
      </c>
    </row>
    <row r="1125" spans="1:2">
      <c r="A1125" t="s">
        <v>7635</v>
      </c>
      <c r="B1125" t="s">
        <v>7636</v>
      </c>
    </row>
    <row r="1126" spans="1:2">
      <c r="A1126" t="s">
        <v>7459</v>
      </c>
      <c r="B1126" t="s">
        <v>7460</v>
      </c>
    </row>
    <row r="1127" spans="1:2">
      <c r="A1127" t="s">
        <v>7765</v>
      </c>
      <c r="B1127" t="s">
        <v>7766</v>
      </c>
    </row>
    <row r="1128" spans="1:2">
      <c r="A1128" t="s">
        <v>7537</v>
      </c>
      <c r="B1128" t="s">
        <v>7538</v>
      </c>
    </row>
    <row r="1129" spans="1:2">
      <c r="A1129" t="s">
        <v>7565</v>
      </c>
      <c r="B1129" t="s">
        <v>7566</v>
      </c>
    </row>
    <row r="1130" spans="1:2">
      <c r="A1130" t="s">
        <v>7436</v>
      </c>
      <c r="B1130" t="s">
        <v>7437</v>
      </c>
    </row>
    <row r="1131" spans="1:2">
      <c r="A1131" t="s">
        <v>6712</v>
      </c>
      <c r="B1131" t="s">
        <v>8949</v>
      </c>
    </row>
    <row r="1132" spans="1:2">
      <c r="A1132" t="s">
        <v>7848</v>
      </c>
      <c r="B1132" t="s">
        <v>7849</v>
      </c>
    </row>
    <row r="1133" spans="1:2">
      <c r="A1133" t="s">
        <v>7323</v>
      </c>
      <c r="B1133" t="s">
        <v>7324</v>
      </c>
    </row>
    <row r="1134" spans="1:2">
      <c r="A1134" t="s">
        <v>7471</v>
      </c>
      <c r="B1134" t="s">
        <v>7472</v>
      </c>
    </row>
    <row r="1135" spans="1:2">
      <c r="A1135" t="s">
        <v>7178</v>
      </c>
      <c r="B1135" t="s">
        <v>7179</v>
      </c>
    </row>
    <row r="1136" spans="1:2">
      <c r="A1136" t="s">
        <v>7491</v>
      </c>
      <c r="B1136" t="s">
        <v>7492</v>
      </c>
    </row>
    <row r="1137" spans="1:2">
      <c r="A1137" t="s">
        <v>7483</v>
      </c>
      <c r="B1137" t="s">
        <v>7484</v>
      </c>
    </row>
    <row r="1138" spans="1:2">
      <c r="A1138" t="s">
        <v>7524</v>
      </c>
      <c r="B1138" t="s">
        <v>7525</v>
      </c>
    </row>
    <row r="1139" spans="1:2">
      <c r="A1139" t="s">
        <v>7570</v>
      </c>
      <c r="B1139" t="s">
        <v>7571</v>
      </c>
    </row>
    <row r="1140" spans="1:2">
      <c r="A1140" t="s">
        <v>7475</v>
      </c>
      <c r="B1140" t="s">
        <v>7476</v>
      </c>
    </row>
    <row r="1141" spans="1:2">
      <c r="A1141" t="s">
        <v>7549</v>
      </c>
      <c r="B1141" t="s">
        <v>7550</v>
      </c>
    </row>
    <row r="1142" spans="1:2">
      <c r="A1142" t="s">
        <v>7576</v>
      </c>
      <c r="B1142" t="s">
        <v>7577</v>
      </c>
    </row>
    <row r="1143" spans="1:2">
      <c r="A1143" t="s">
        <v>7168</v>
      </c>
      <c r="B1143" t="s">
        <v>7169</v>
      </c>
    </row>
    <row r="1144" spans="1:2">
      <c r="A1144" t="s">
        <v>7377</v>
      </c>
      <c r="B1144" t="s">
        <v>9077</v>
      </c>
    </row>
    <row r="1145" spans="1:2">
      <c r="A1145" t="s">
        <v>7572</v>
      </c>
      <c r="B1145" t="s">
        <v>7573</v>
      </c>
    </row>
    <row r="1146" spans="1:2">
      <c r="A1146" t="s">
        <v>7286</v>
      </c>
      <c r="B1146" t="s">
        <v>9610</v>
      </c>
    </row>
    <row r="1147" spans="1:2">
      <c r="A1147" t="s">
        <v>6258</v>
      </c>
      <c r="B1147" t="s">
        <v>6259</v>
      </c>
    </row>
    <row r="1148" spans="1:2">
      <c r="A1148" t="s">
        <v>7568</v>
      </c>
      <c r="B1148" t="s">
        <v>7569</v>
      </c>
    </row>
    <row r="1149" spans="1:2">
      <c r="A1149" t="s">
        <v>7574</v>
      </c>
      <c r="B1149" t="s">
        <v>7575</v>
      </c>
    </row>
    <row r="1150" spans="1:2">
      <c r="A1150" t="s">
        <v>8116</v>
      </c>
      <c r="B1150" t="s">
        <v>9321</v>
      </c>
    </row>
    <row r="1151" spans="1:2">
      <c r="A1151" t="s">
        <v>7668</v>
      </c>
      <c r="B1151" t="s">
        <v>7669</v>
      </c>
    </row>
    <row r="1152" spans="1:2">
      <c r="A1152" t="s">
        <v>8735</v>
      </c>
      <c r="B1152" t="s">
        <v>8736</v>
      </c>
    </row>
    <row r="1153" spans="1:2">
      <c r="A1153" t="s">
        <v>7580</v>
      </c>
      <c r="B1153" t="s">
        <v>7581</v>
      </c>
    </row>
    <row r="1154" spans="1:2">
      <c r="A1154" t="s">
        <v>7582</v>
      </c>
      <c r="B1154" t="s">
        <v>7583</v>
      </c>
    </row>
    <row r="1155" spans="1:2">
      <c r="A1155" t="s">
        <v>7337</v>
      </c>
      <c r="B1155" t="s">
        <v>7338</v>
      </c>
    </row>
    <row r="1156" spans="1:2">
      <c r="A1156" t="s">
        <v>6407</v>
      </c>
      <c r="B1156" t="s">
        <v>6408</v>
      </c>
    </row>
    <row r="1157" spans="1:2">
      <c r="A1157" t="s">
        <v>8636</v>
      </c>
      <c r="B1157" t="s">
        <v>9377</v>
      </c>
    </row>
    <row r="1158" spans="1:2">
      <c r="A1158" t="s">
        <v>7430</v>
      </c>
      <c r="B1158" t="s">
        <v>7431</v>
      </c>
    </row>
    <row r="1159" spans="1:2">
      <c r="A1159" t="s">
        <v>8370</v>
      </c>
      <c r="B1159" t="s">
        <v>8371</v>
      </c>
    </row>
    <row r="1160" spans="1:2">
      <c r="A1160" t="s">
        <v>7144</v>
      </c>
      <c r="B1160" t="s">
        <v>7145</v>
      </c>
    </row>
    <row r="1161" spans="1:2">
      <c r="A1161" t="s">
        <v>6762</v>
      </c>
      <c r="B1161" t="s">
        <v>6763</v>
      </c>
    </row>
    <row r="1162" spans="1:2">
      <c r="A1162" t="s">
        <v>7497</v>
      </c>
      <c r="B1162" t="s">
        <v>7498</v>
      </c>
    </row>
    <row r="1163" spans="1:2">
      <c r="A1163" t="s">
        <v>7545</v>
      </c>
      <c r="B1163" t="s">
        <v>7546</v>
      </c>
    </row>
    <row r="1164" spans="1:2">
      <c r="A1164" t="s">
        <v>7555</v>
      </c>
      <c r="B1164" t="s">
        <v>7556</v>
      </c>
    </row>
    <row r="1165" spans="1:2">
      <c r="A1165" t="s">
        <v>7303</v>
      </c>
      <c r="B1165" t="s">
        <v>7304</v>
      </c>
    </row>
    <row r="1166" spans="1:2">
      <c r="A1166" t="s">
        <v>7510</v>
      </c>
      <c r="B1166" t="s">
        <v>9434</v>
      </c>
    </row>
    <row r="1167" spans="1:2">
      <c r="A1167" t="s">
        <v>7657</v>
      </c>
      <c r="B1167" t="s">
        <v>7658</v>
      </c>
    </row>
    <row r="1168" spans="1:2">
      <c r="A1168" t="s">
        <v>7933</v>
      </c>
      <c r="B1168" t="s">
        <v>9395</v>
      </c>
    </row>
    <row r="1169" spans="1:2">
      <c r="A1169" t="s">
        <v>7559</v>
      </c>
      <c r="B1169" t="s">
        <v>7560</v>
      </c>
    </row>
    <row r="1170" spans="1:2">
      <c r="A1170" t="s">
        <v>7296</v>
      </c>
      <c r="B1170" t="s">
        <v>7297</v>
      </c>
    </row>
    <row r="1171" spans="1:2">
      <c r="A1171" t="s">
        <v>8712</v>
      </c>
      <c r="B1171" t="s">
        <v>8713</v>
      </c>
    </row>
    <row r="1172" spans="1:2">
      <c r="A1172" t="s">
        <v>7203</v>
      </c>
      <c r="B1172" t="s">
        <v>7204</v>
      </c>
    </row>
    <row r="1173" spans="1:2">
      <c r="A1173" t="s">
        <v>6866</v>
      </c>
      <c r="B1173" t="s">
        <v>9281</v>
      </c>
    </row>
    <row r="1174" spans="1:2">
      <c r="A1174" t="s">
        <v>7735</v>
      </c>
      <c r="B1174" t="s">
        <v>7736</v>
      </c>
    </row>
    <row r="1175" spans="1:2">
      <c r="A1175" t="s">
        <v>7507</v>
      </c>
      <c r="B1175" t="s">
        <v>9045</v>
      </c>
    </row>
    <row r="1176" spans="1:2">
      <c r="A1176" t="s">
        <v>7699</v>
      </c>
      <c r="B1176" t="s">
        <v>7700</v>
      </c>
    </row>
    <row r="1177" spans="1:2">
      <c r="A1177" t="s">
        <v>7659</v>
      </c>
      <c r="B1177" t="s">
        <v>7660</v>
      </c>
    </row>
    <row r="1178" spans="1:2">
      <c r="A1178" t="s">
        <v>7605</v>
      </c>
      <c r="B1178" t="s">
        <v>7606</v>
      </c>
    </row>
    <row r="1179" spans="1:2">
      <c r="A1179" t="s">
        <v>8737</v>
      </c>
      <c r="B1179" t="s">
        <v>8738</v>
      </c>
    </row>
    <row r="1180" spans="1:2">
      <c r="A1180" t="s">
        <v>7588</v>
      </c>
      <c r="B1180" t="s">
        <v>8957</v>
      </c>
    </row>
    <row r="1181" spans="1:2">
      <c r="A1181" t="s">
        <v>7406</v>
      </c>
      <c r="B1181" t="s">
        <v>7407</v>
      </c>
    </row>
    <row r="1182" spans="1:2">
      <c r="A1182" t="s">
        <v>7663</v>
      </c>
      <c r="B1182" t="s">
        <v>7664</v>
      </c>
    </row>
    <row r="1183" spans="1:2">
      <c r="A1183" t="s">
        <v>7665</v>
      </c>
      <c r="B1183" t="s">
        <v>7666</v>
      </c>
    </row>
    <row r="1184" spans="1:2">
      <c r="A1184" t="s">
        <v>7667</v>
      </c>
      <c r="B1184" t="s">
        <v>9414</v>
      </c>
    </row>
    <row r="1185" spans="1:2">
      <c r="A1185" t="s">
        <v>7721</v>
      </c>
      <c r="B1185" t="s">
        <v>7722</v>
      </c>
    </row>
    <row r="1186" spans="1:2">
      <c r="A1186" t="s">
        <v>7163</v>
      </c>
      <c r="B1186" t="s">
        <v>7164</v>
      </c>
    </row>
    <row r="1187" spans="1:2">
      <c r="A1187" t="s">
        <v>8509</v>
      </c>
      <c r="B1187" t="s">
        <v>8510</v>
      </c>
    </row>
    <row r="1188" spans="1:2">
      <c r="A1188" t="s">
        <v>7672</v>
      </c>
      <c r="B1188" t="s">
        <v>7673</v>
      </c>
    </row>
    <row r="1189" spans="1:2">
      <c r="A1189" t="s">
        <v>7713</v>
      </c>
      <c r="B1189" t="s">
        <v>7714</v>
      </c>
    </row>
    <row r="1190" spans="1:2">
      <c r="A1190" t="s">
        <v>7703</v>
      </c>
      <c r="B1190" t="s">
        <v>7704</v>
      </c>
    </row>
    <row r="1191" spans="1:2">
      <c r="A1191" t="s">
        <v>7670</v>
      </c>
      <c r="B1191" t="s">
        <v>7671</v>
      </c>
    </row>
    <row r="1192" spans="1:2">
      <c r="A1192" t="s">
        <v>7541</v>
      </c>
      <c r="B1192" t="s">
        <v>7542</v>
      </c>
    </row>
    <row r="1193" spans="1:2">
      <c r="A1193" t="s">
        <v>7691</v>
      </c>
      <c r="B1193" t="s">
        <v>7692</v>
      </c>
    </row>
    <row r="1194" spans="1:2">
      <c r="A1194" t="s">
        <v>7321</v>
      </c>
      <c r="B1194" t="s">
        <v>7322</v>
      </c>
    </row>
    <row r="1195" spans="1:2">
      <c r="A1195" t="s">
        <v>7528</v>
      </c>
      <c r="B1195" t="s">
        <v>8747</v>
      </c>
    </row>
    <row r="1196" spans="1:2">
      <c r="A1196" t="s">
        <v>5411</v>
      </c>
      <c r="B1196" t="s">
        <v>5412</v>
      </c>
    </row>
    <row r="1197" spans="1:2">
      <c r="A1197" t="s">
        <v>7609</v>
      </c>
      <c r="B1197" t="s">
        <v>7610</v>
      </c>
    </row>
    <row r="1198" spans="1:2">
      <c r="A1198" t="s">
        <v>6944</v>
      </c>
      <c r="B1198" t="s">
        <v>6945</v>
      </c>
    </row>
    <row r="1199" spans="1:2">
      <c r="A1199" t="s">
        <v>7641</v>
      </c>
      <c r="B1199" t="s">
        <v>7642</v>
      </c>
    </row>
    <row r="1200" spans="1:2">
      <c r="A1200" t="s">
        <v>7678</v>
      </c>
      <c r="B1200" t="s">
        <v>7679</v>
      </c>
    </row>
    <row r="1201" spans="1:2">
      <c r="A1201" t="s">
        <v>7715</v>
      </c>
      <c r="B1201" t="s">
        <v>7716</v>
      </c>
    </row>
    <row r="1202" spans="1:2">
      <c r="A1202" t="s">
        <v>7477</v>
      </c>
      <c r="B1202" t="s">
        <v>7478</v>
      </c>
    </row>
    <row r="1203" spans="1:2">
      <c r="A1203" t="s">
        <v>6839</v>
      </c>
      <c r="B1203" t="s">
        <v>6840</v>
      </c>
    </row>
    <row r="1204" spans="1:2">
      <c r="A1204" t="s">
        <v>6620</v>
      </c>
      <c r="B1204" t="s">
        <v>6621</v>
      </c>
    </row>
    <row r="1205" spans="1:2">
      <c r="A1205" t="s">
        <v>7680</v>
      </c>
      <c r="B1205" t="s">
        <v>7681</v>
      </c>
    </row>
    <row r="1206" spans="1:2">
      <c r="A1206" t="s">
        <v>7858</v>
      </c>
      <c r="B1206" t="s">
        <v>8515</v>
      </c>
    </row>
    <row r="1207" spans="1:2">
      <c r="A1207" t="s">
        <v>7592</v>
      </c>
      <c r="B1207" t="s">
        <v>7593</v>
      </c>
    </row>
    <row r="1208" spans="1:2">
      <c r="A1208" t="s">
        <v>7747</v>
      </c>
      <c r="B1208" t="s">
        <v>7748</v>
      </c>
    </row>
    <row r="1209" spans="1:2">
      <c r="A1209" t="s">
        <v>7749</v>
      </c>
      <c r="B1209" t="s">
        <v>9499</v>
      </c>
    </row>
    <row r="1210" spans="1:2">
      <c r="A1210" t="s">
        <v>7649</v>
      </c>
      <c r="B1210" t="s">
        <v>7650</v>
      </c>
    </row>
    <row r="1211" spans="1:2">
      <c r="A1211" t="s">
        <v>7158</v>
      </c>
      <c r="B1211" t="s">
        <v>7159</v>
      </c>
    </row>
    <row r="1212" spans="1:2">
      <c r="A1212" t="s">
        <v>6721</v>
      </c>
      <c r="B1212" t="s">
        <v>6722</v>
      </c>
    </row>
    <row r="1213" spans="1:2">
      <c r="A1213" t="s">
        <v>7684</v>
      </c>
      <c r="B1213" t="s">
        <v>7685</v>
      </c>
    </row>
    <row r="1214" spans="1:2">
      <c r="A1214" t="s">
        <v>7607</v>
      </c>
      <c r="B1214" t="s">
        <v>7608</v>
      </c>
    </row>
    <row r="1215" spans="1:2">
      <c r="A1215" t="s">
        <v>7135</v>
      </c>
      <c r="B1215" t="s">
        <v>7136</v>
      </c>
    </row>
    <row r="1216" spans="1:2">
      <c r="A1216" t="s">
        <v>7750</v>
      </c>
      <c r="B1216" t="s">
        <v>7751</v>
      </c>
    </row>
    <row r="1217" spans="1:2">
      <c r="A1217" t="s">
        <v>5892</v>
      </c>
      <c r="B1217" t="s">
        <v>5893</v>
      </c>
    </row>
    <row r="1218" spans="1:2">
      <c r="A1218" t="s">
        <v>7618</v>
      </c>
      <c r="B1218" t="s">
        <v>7619</v>
      </c>
    </row>
    <row r="1219" spans="1:2">
      <c r="A1219" t="s">
        <v>7752</v>
      </c>
      <c r="B1219" t="s">
        <v>7753</v>
      </c>
    </row>
    <row r="1220" spans="1:2">
      <c r="A1220" t="s">
        <v>7513</v>
      </c>
      <c r="B1220" t="s">
        <v>8557</v>
      </c>
    </row>
    <row r="1221" spans="1:2">
      <c r="A1221" t="s">
        <v>6626</v>
      </c>
      <c r="B1221" t="s">
        <v>6627</v>
      </c>
    </row>
    <row r="1222" spans="1:2">
      <c r="A1222" t="s">
        <v>7958</v>
      </c>
      <c r="B1222" t="s">
        <v>7959</v>
      </c>
    </row>
    <row r="1223" spans="1:2">
      <c r="A1223" t="s">
        <v>7329</v>
      </c>
      <c r="B1223" t="s">
        <v>7330</v>
      </c>
    </row>
    <row r="1224" spans="1:2">
      <c r="A1224" t="s">
        <v>7651</v>
      </c>
      <c r="B1224" t="s">
        <v>7652</v>
      </c>
    </row>
    <row r="1225" spans="1:2">
      <c r="A1225" t="s">
        <v>7643</v>
      </c>
      <c r="B1225" t="s">
        <v>7644</v>
      </c>
    </row>
    <row r="1226" spans="1:2">
      <c r="A1226" t="s">
        <v>7653</v>
      </c>
      <c r="B1226" t="s">
        <v>7654</v>
      </c>
    </row>
    <row r="1227" spans="1:2">
      <c r="A1227" t="s">
        <v>7623</v>
      </c>
      <c r="B1227" t="s">
        <v>7624</v>
      </c>
    </row>
    <row r="1228" spans="1:2">
      <c r="A1228" t="s">
        <v>7688</v>
      </c>
      <c r="B1228" t="s">
        <v>8657</v>
      </c>
    </row>
    <row r="1229" spans="1:2">
      <c r="A1229" t="s">
        <v>7368</v>
      </c>
      <c r="B1229" t="s">
        <v>8709</v>
      </c>
    </row>
    <row r="1230" spans="1:2">
      <c r="A1230" t="s">
        <v>7711</v>
      </c>
      <c r="B1230" t="s">
        <v>7712</v>
      </c>
    </row>
    <row r="1231" spans="1:2">
      <c r="A1231" t="s">
        <v>7795</v>
      </c>
      <c r="B1231" t="s">
        <v>7796</v>
      </c>
    </row>
    <row r="1232" spans="1:2">
      <c r="A1232" t="s">
        <v>7177</v>
      </c>
      <c r="B1232" t="s">
        <v>8769</v>
      </c>
    </row>
    <row r="1233" spans="1:2">
      <c r="A1233" t="s">
        <v>7856</v>
      </c>
      <c r="B1233" t="s">
        <v>7857</v>
      </c>
    </row>
    <row r="1234" spans="1:2">
      <c r="A1234" t="s">
        <v>9600</v>
      </c>
      <c r="B1234" t="s">
        <v>9601</v>
      </c>
    </row>
    <row r="1235" spans="1:2">
      <c r="A1235" t="s">
        <v>7754</v>
      </c>
      <c r="B1235" t="s">
        <v>7755</v>
      </c>
    </row>
    <row r="1236" spans="1:2">
      <c r="A1236" t="s">
        <v>7743</v>
      </c>
      <c r="B1236" t="s">
        <v>7744</v>
      </c>
    </row>
    <row r="1237" spans="1:2">
      <c r="A1237" t="s">
        <v>7347</v>
      </c>
      <c r="B1237" t="s">
        <v>7348</v>
      </c>
    </row>
    <row r="1238" spans="1:2">
      <c r="A1238" t="s">
        <v>6689</v>
      </c>
      <c r="B1238" t="s">
        <v>9648</v>
      </c>
    </row>
    <row r="1239" spans="1:2">
      <c r="A1239" t="s">
        <v>7201</v>
      </c>
      <c r="B1239" t="s">
        <v>7202</v>
      </c>
    </row>
    <row r="1240" spans="1:2">
      <c r="A1240" t="s">
        <v>7730</v>
      </c>
      <c r="B1240" t="s">
        <v>7731</v>
      </c>
    </row>
    <row r="1241" spans="1:2">
      <c r="A1241" t="s">
        <v>7604</v>
      </c>
      <c r="B1241" t="s">
        <v>9503</v>
      </c>
    </row>
    <row r="1242" spans="1:2">
      <c r="A1242" t="s">
        <v>7315</v>
      </c>
      <c r="B1242" t="s">
        <v>8932</v>
      </c>
    </row>
    <row r="1243" spans="1:2">
      <c r="A1243" t="s">
        <v>7809</v>
      </c>
      <c r="B1243" t="s">
        <v>7810</v>
      </c>
    </row>
    <row r="1244" spans="1:2">
      <c r="A1244" t="s">
        <v>7380</v>
      </c>
      <c r="B1244" t="s">
        <v>9367</v>
      </c>
    </row>
    <row r="1245" spans="1:2">
      <c r="A1245" t="s">
        <v>6312</v>
      </c>
      <c r="B1245" t="s">
        <v>6313</v>
      </c>
    </row>
    <row r="1246" spans="1:2">
      <c r="A1246" t="s">
        <v>7705</v>
      </c>
      <c r="B1246" t="s">
        <v>7706</v>
      </c>
    </row>
    <row r="1247" spans="1:2">
      <c r="A1247" t="s">
        <v>7779</v>
      </c>
      <c r="B1247" t="s">
        <v>7780</v>
      </c>
    </row>
    <row r="1248" spans="1:2">
      <c r="A1248" t="s">
        <v>7647</v>
      </c>
      <c r="B1248" t="s">
        <v>8969</v>
      </c>
    </row>
    <row r="1249" spans="1:2">
      <c r="A1249" t="s">
        <v>7844</v>
      </c>
      <c r="B1249" t="s">
        <v>7845</v>
      </c>
    </row>
    <row r="1250" spans="1:2">
      <c r="A1250" t="s">
        <v>7674</v>
      </c>
      <c r="B1250" t="s">
        <v>9417</v>
      </c>
    </row>
    <row r="1251" spans="1:2">
      <c r="A1251" t="s">
        <v>8723</v>
      </c>
      <c r="B1251" t="s">
        <v>8724</v>
      </c>
    </row>
    <row r="1252" spans="1:2">
      <c r="A1252" t="s">
        <v>6896</v>
      </c>
      <c r="B1252" t="s">
        <v>6897</v>
      </c>
    </row>
    <row r="1253" spans="1:2">
      <c r="A1253" t="s">
        <v>7675</v>
      </c>
      <c r="B1253" t="s">
        <v>7676</v>
      </c>
    </row>
    <row r="1254" spans="1:2">
      <c r="A1254" t="s">
        <v>7517</v>
      </c>
      <c r="B1254" t="s">
        <v>7518</v>
      </c>
    </row>
    <row r="1255" spans="1:2">
      <c r="A1255" t="s">
        <v>8372</v>
      </c>
      <c r="B1255" t="s">
        <v>8453</v>
      </c>
    </row>
    <row r="1256" spans="1:2">
      <c r="A1256" t="s">
        <v>7508</v>
      </c>
      <c r="B1256" t="s">
        <v>7509</v>
      </c>
    </row>
    <row r="1257" spans="1:2">
      <c r="A1257" t="s">
        <v>7600</v>
      </c>
      <c r="B1257" t="s">
        <v>7601</v>
      </c>
    </row>
    <row r="1258" spans="1:2">
      <c r="A1258" t="s">
        <v>5567</v>
      </c>
      <c r="B1258" t="s">
        <v>5568</v>
      </c>
    </row>
    <row r="1259" spans="1:2">
      <c r="A1259" t="s">
        <v>6826</v>
      </c>
      <c r="B1259" t="s">
        <v>8810</v>
      </c>
    </row>
    <row r="1260" spans="1:2">
      <c r="A1260" t="s">
        <v>6902</v>
      </c>
      <c r="B1260" t="s">
        <v>6903</v>
      </c>
    </row>
    <row r="1261" spans="1:2">
      <c r="A1261" t="s">
        <v>7801</v>
      </c>
      <c r="B1261" t="s">
        <v>7802</v>
      </c>
    </row>
    <row r="1262" spans="1:2">
      <c r="A1262" t="s">
        <v>7859</v>
      </c>
      <c r="B1262" t="s">
        <v>7860</v>
      </c>
    </row>
    <row r="1263" spans="1:2">
      <c r="A1263" t="s">
        <v>7842</v>
      </c>
      <c r="B1263" t="s">
        <v>7843</v>
      </c>
    </row>
    <row r="1264" spans="1:2">
      <c r="A1264" t="s">
        <v>7840</v>
      </c>
      <c r="B1264" t="s">
        <v>7841</v>
      </c>
    </row>
    <row r="1265" spans="1:2">
      <c r="A1265" t="s">
        <v>7833</v>
      </c>
      <c r="B1265" t="s">
        <v>7834</v>
      </c>
    </row>
    <row r="1266" spans="1:2">
      <c r="A1266" t="s">
        <v>7584</v>
      </c>
      <c r="B1266" t="s">
        <v>7585</v>
      </c>
    </row>
    <row r="1267" spans="1:2">
      <c r="A1267" t="s">
        <v>9258</v>
      </c>
      <c r="B1267" t="s">
        <v>9259</v>
      </c>
    </row>
    <row r="1268" spans="1:2">
      <c r="A1268" t="s">
        <v>7514</v>
      </c>
      <c r="B1268" t="s">
        <v>8778</v>
      </c>
    </row>
    <row r="1269" spans="1:2">
      <c r="A1269" t="s">
        <v>7298</v>
      </c>
      <c r="B1269" t="s">
        <v>9623</v>
      </c>
    </row>
    <row r="1270" spans="1:2">
      <c r="A1270" t="s">
        <v>6572</v>
      </c>
      <c r="B1270" t="s">
        <v>6573</v>
      </c>
    </row>
    <row r="1271" spans="1:2">
      <c r="A1271" t="s">
        <v>7865</v>
      </c>
      <c r="B1271" t="s">
        <v>7866</v>
      </c>
    </row>
    <row r="1272" spans="1:2">
      <c r="A1272" t="s">
        <v>7773</v>
      </c>
      <c r="B1272" t="s">
        <v>7774</v>
      </c>
    </row>
    <row r="1273" spans="1:2">
      <c r="A1273" t="s">
        <v>7733</v>
      </c>
      <c r="B1273" t="s">
        <v>7734</v>
      </c>
    </row>
    <row r="1274" spans="1:2">
      <c r="A1274" t="s">
        <v>7345</v>
      </c>
      <c r="B1274" t="s">
        <v>7346</v>
      </c>
    </row>
    <row r="1275" spans="1:2">
      <c r="A1275" t="s">
        <v>7631</v>
      </c>
      <c r="B1275" t="s">
        <v>7632</v>
      </c>
    </row>
    <row r="1276" spans="1:2">
      <c r="A1276" t="s">
        <v>7625</v>
      </c>
      <c r="B1276" t="s">
        <v>7626</v>
      </c>
    </row>
    <row r="1277" spans="1:2">
      <c r="A1277" t="s">
        <v>7723</v>
      </c>
      <c r="B1277" t="s">
        <v>7724</v>
      </c>
    </row>
    <row r="1278" spans="1:2">
      <c r="A1278" t="s">
        <v>6533</v>
      </c>
      <c r="B1278" t="s">
        <v>9400</v>
      </c>
    </row>
    <row r="1279" spans="1:2">
      <c r="A1279" t="s">
        <v>7311</v>
      </c>
      <c r="B1279" t="s">
        <v>7312</v>
      </c>
    </row>
    <row r="1280" spans="1:2">
      <c r="A1280" t="s">
        <v>7836</v>
      </c>
      <c r="B1280" t="s">
        <v>7837</v>
      </c>
    </row>
    <row r="1281" spans="1:2">
      <c r="A1281" t="s">
        <v>5600</v>
      </c>
      <c r="B1281" t="s">
        <v>5601</v>
      </c>
    </row>
    <row r="1282" spans="1:2">
      <c r="A1282" t="s">
        <v>7826</v>
      </c>
      <c r="B1282" t="s">
        <v>7827</v>
      </c>
    </row>
    <row r="1283" spans="1:2">
      <c r="A1283" t="s">
        <v>7769</v>
      </c>
      <c r="B1283" t="s">
        <v>7770</v>
      </c>
    </row>
    <row r="1284" spans="1:2">
      <c r="A1284" t="s">
        <v>9134</v>
      </c>
      <c r="B1284" t="s">
        <v>9135</v>
      </c>
    </row>
    <row r="1285" spans="1:2">
      <c r="A1285" t="s">
        <v>7787</v>
      </c>
      <c r="B1285" t="s">
        <v>7788</v>
      </c>
    </row>
    <row r="1286" spans="1:2">
      <c r="A1286" t="s">
        <v>7929</v>
      </c>
      <c r="B1286" t="s">
        <v>7930</v>
      </c>
    </row>
    <row r="1287" spans="1:2">
      <c r="A1287" t="s">
        <v>7622</v>
      </c>
      <c r="B1287" t="s">
        <v>9616</v>
      </c>
    </row>
    <row r="1288" spans="1:2">
      <c r="A1288" t="s">
        <v>7156</v>
      </c>
      <c r="B1288" t="s">
        <v>7157</v>
      </c>
    </row>
    <row r="1289" spans="1:2">
      <c r="A1289" t="s">
        <v>7551</v>
      </c>
      <c r="B1289" t="s">
        <v>7552</v>
      </c>
    </row>
    <row r="1290" spans="1:2">
      <c r="A1290" t="s">
        <v>8660</v>
      </c>
      <c r="B1290" t="s">
        <v>8661</v>
      </c>
    </row>
    <row r="1291" spans="1:2">
      <c r="A1291" t="s">
        <v>7739</v>
      </c>
      <c r="B1291" t="s">
        <v>7740</v>
      </c>
    </row>
    <row r="1292" spans="1:2">
      <c r="A1292" t="s">
        <v>7742</v>
      </c>
      <c r="B1292" t="s">
        <v>9282</v>
      </c>
    </row>
    <row r="1293" spans="1:2">
      <c r="A1293" t="s">
        <v>7717</v>
      </c>
      <c r="B1293" t="s">
        <v>7718</v>
      </c>
    </row>
    <row r="1294" spans="1:2">
      <c r="A1294" t="s">
        <v>7511</v>
      </c>
      <c r="B1294" t="s">
        <v>7512</v>
      </c>
    </row>
    <row r="1295" spans="1:2">
      <c r="A1295" t="s">
        <v>7737</v>
      </c>
      <c r="B1295" t="s">
        <v>7738</v>
      </c>
    </row>
    <row r="1296" spans="1:2">
      <c r="A1296" t="s">
        <v>7881</v>
      </c>
      <c r="B1296" t="s">
        <v>7882</v>
      </c>
    </row>
    <row r="1297" spans="1:2">
      <c r="A1297" t="s">
        <v>7877</v>
      </c>
      <c r="B1297" t="s">
        <v>7878</v>
      </c>
    </row>
    <row r="1298" spans="1:2">
      <c r="A1298" t="s">
        <v>6832</v>
      </c>
      <c r="B1298" t="s">
        <v>9040</v>
      </c>
    </row>
    <row r="1299" spans="1:2">
      <c r="A1299" t="s">
        <v>7395</v>
      </c>
      <c r="B1299" t="s">
        <v>7396</v>
      </c>
    </row>
    <row r="1300" spans="1:2">
      <c r="A1300" t="s">
        <v>7816</v>
      </c>
      <c r="B1300" t="s">
        <v>7817</v>
      </c>
    </row>
    <row r="1301" spans="1:2">
      <c r="A1301" t="s">
        <v>7553</v>
      </c>
      <c r="B1301" t="s">
        <v>7554</v>
      </c>
    </row>
    <row r="1302" spans="1:2">
      <c r="A1302" t="s">
        <v>7594</v>
      </c>
      <c r="B1302" t="s">
        <v>7595</v>
      </c>
    </row>
    <row r="1303" spans="1:2">
      <c r="A1303" t="s">
        <v>8598</v>
      </c>
      <c r="B1303" t="s">
        <v>8623</v>
      </c>
    </row>
    <row r="1304" spans="1:2">
      <c r="A1304" t="s">
        <v>7291</v>
      </c>
      <c r="B1304" t="s">
        <v>8928</v>
      </c>
    </row>
    <row r="1305" spans="1:2">
      <c r="A1305" t="s">
        <v>7655</v>
      </c>
      <c r="B1305" t="s">
        <v>7656</v>
      </c>
    </row>
    <row r="1306" spans="1:2">
      <c r="A1306" t="s">
        <v>7875</v>
      </c>
      <c r="B1306" t="s">
        <v>7876</v>
      </c>
    </row>
    <row r="1307" spans="1:2">
      <c r="A1307" t="s">
        <v>7709</v>
      </c>
      <c r="B1307" t="s">
        <v>7710</v>
      </c>
    </row>
    <row r="1308" spans="1:2">
      <c r="A1308" t="s">
        <v>7358</v>
      </c>
      <c r="B1308" t="s">
        <v>7359</v>
      </c>
    </row>
    <row r="1309" spans="1:2">
      <c r="A1309" t="s">
        <v>7952</v>
      </c>
      <c r="B1309" t="s">
        <v>7953</v>
      </c>
    </row>
    <row r="1310" spans="1:2">
      <c r="A1310" t="s">
        <v>7365</v>
      </c>
      <c r="B1310" t="s">
        <v>9502</v>
      </c>
    </row>
    <row r="1311" spans="1:2">
      <c r="A1311" t="s">
        <v>9311</v>
      </c>
      <c r="B1311" t="s">
        <v>9312</v>
      </c>
    </row>
    <row r="1312" spans="1:2">
      <c r="A1312" t="s">
        <v>6634</v>
      </c>
      <c r="B1312" t="s">
        <v>6635</v>
      </c>
    </row>
    <row r="1313" spans="1:2">
      <c r="A1313" t="s">
        <v>7911</v>
      </c>
      <c r="B1313" t="s">
        <v>7912</v>
      </c>
    </row>
    <row r="1314" spans="1:2">
      <c r="A1314" t="s">
        <v>7361</v>
      </c>
      <c r="B1314" t="s">
        <v>7362</v>
      </c>
    </row>
    <row r="1315" spans="1:2">
      <c r="A1315" t="s">
        <v>7936</v>
      </c>
      <c r="B1315" t="s">
        <v>7937</v>
      </c>
    </row>
    <row r="1316" spans="1:2">
      <c r="A1316" t="s">
        <v>7824</v>
      </c>
      <c r="B1316" t="s">
        <v>7825</v>
      </c>
    </row>
    <row r="1317" spans="1:2">
      <c r="A1317" t="s">
        <v>7611</v>
      </c>
      <c r="B1317" t="s">
        <v>9117</v>
      </c>
    </row>
    <row r="1318" spans="1:2">
      <c r="A1318" t="s">
        <v>7645</v>
      </c>
      <c r="B1318" t="s">
        <v>7646</v>
      </c>
    </row>
    <row r="1319" spans="1:2">
      <c r="A1319" t="s">
        <v>7934</v>
      </c>
      <c r="B1319" t="s">
        <v>7935</v>
      </c>
    </row>
    <row r="1320" spans="1:2">
      <c r="A1320" t="s">
        <v>7627</v>
      </c>
      <c r="B1320" t="s">
        <v>7628</v>
      </c>
    </row>
    <row r="1321" spans="1:2">
      <c r="A1321" t="s">
        <v>7732</v>
      </c>
      <c r="B1321" t="s">
        <v>8561</v>
      </c>
    </row>
    <row r="1322" spans="1:2">
      <c r="A1322" t="s">
        <v>7835</v>
      </c>
      <c r="B1322" t="s">
        <v>9651</v>
      </c>
    </row>
    <row r="1323" spans="1:2">
      <c r="A1323" t="s">
        <v>7741</v>
      </c>
      <c r="B1323" t="s">
        <v>9253</v>
      </c>
    </row>
    <row r="1324" spans="1:2">
      <c r="A1324" t="s">
        <v>8072</v>
      </c>
      <c r="B1324" t="s">
        <v>9420</v>
      </c>
    </row>
    <row r="1325" spans="1:2">
      <c r="A1325" t="s">
        <v>7938</v>
      </c>
      <c r="B1325" t="s">
        <v>7939</v>
      </c>
    </row>
    <row r="1326" spans="1:2">
      <c r="A1326" t="s">
        <v>7846</v>
      </c>
      <c r="B1326" t="s">
        <v>7847</v>
      </c>
    </row>
    <row r="1327" spans="1:2">
      <c r="A1327" t="s">
        <v>7931</v>
      </c>
      <c r="B1327" t="s">
        <v>7932</v>
      </c>
    </row>
    <row r="1328" spans="1:2">
      <c r="A1328" t="s">
        <v>7883</v>
      </c>
      <c r="B1328" t="s">
        <v>7884</v>
      </c>
    </row>
    <row r="1329" spans="1:2">
      <c r="A1329" t="s">
        <v>7695</v>
      </c>
      <c r="B1329" t="s">
        <v>7696</v>
      </c>
    </row>
    <row r="1330" spans="1:2">
      <c r="A1330" t="s">
        <v>5475</v>
      </c>
      <c r="B1330" t="s">
        <v>5476</v>
      </c>
    </row>
    <row r="1331" spans="1:2">
      <c r="A1331" t="s">
        <v>7719</v>
      </c>
      <c r="B1331" t="s">
        <v>7720</v>
      </c>
    </row>
    <row r="1332" spans="1:2">
      <c r="A1332" t="s">
        <v>9541</v>
      </c>
      <c r="B1332" t="s">
        <v>9542</v>
      </c>
    </row>
    <row r="1333" spans="1:2">
      <c r="A1333" t="s">
        <v>7852</v>
      </c>
      <c r="B1333" t="s">
        <v>7853</v>
      </c>
    </row>
    <row r="1334" spans="1:2">
      <c r="A1334" t="s">
        <v>9208</v>
      </c>
      <c r="B1334" t="s">
        <v>9209</v>
      </c>
    </row>
    <row r="1335" spans="1:2">
      <c r="A1335" t="s">
        <v>7861</v>
      </c>
      <c r="B1335" t="s">
        <v>7862</v>
      </c>
    </row>
    <row r="1336" spans="1:2">
      <c r="A1336" t="s">
        <v>7903</v>
      </c>
      <c r="B1336" t="s">
        <v>7904</v>
      </c>
    </row>
    <row r="1337" spans="1:2">
      <c r="A1337" t="s">
        <v>8042</v>
      </c>
      <c r="B1337" t="s">
        <v>8043</v>
      </c>
    </row>
    <row r="1338" spans="1:2">
      <c r="A1338" t="s">
        <v>9183</v>
      </c>
      <c r="B1338" t="s">
        <v>9184</v>
      </c>
    </row>
    <row r="1339" spans="1:2">
      <c r="A1339" t="s">
        <v>5549</v>
      </c>
      <c r="B1339" t="s">
        <v>5550</v>
      </c>
    </row>
    <row r="1340" spans="1:2">
      <c r="A1340" t="s">
        <v>7948</v>
      </c>
      <c r="B1340" t="s">
        <v>7949</v>
      </c>
    </row>
    <row r="1341" spans="1:2">
      <c r="A1341" t="s">
        <v>7946</v>
      </c>
      <c r="B1341" t="s">
        <v>7947</v>
      </c>
    </row>
    <row r="1342" spans="1:2">
      <c r="A1342" t="s">
        <v>7375</v>
      </c>
      <c r="B1342" t="s">
        <v>7376</v>
      </c>
    </row>
    <row r="1343" spans="1:2">
      <c r="A1343" t="s">
        <v>8464</v>
      </c>
      <c r="B1343" t="s">
        <v>8465</v>
      </c>
    </row>
    <row r="1344" spans="1:2">
      <c r="A1344" t="s">
        <v>7793</v>
      </c>
      <c r="B1344" t="s">
        <v>7794</v>
      </c>
    </row>
    <row r="1345" spans="1:2">
      <c r="A1345" t="s">
        <v>7830</v>
      </c>
      <c r="B1345" t="s">
        <v>9276</v>
      </c>
    </row>
    <row r="1346" spans="1:2">
      <c r="A1346" t="s">
        <v>7869</v>
      </c>
      <c r="B1346" t="s">
        <v>7870</v>
      </c>
    </row>
    <row r="1347" spans="1:2">
      <c r="A1347" t="s">
        <v>9038</v>
      </c>
      <c r="B1347" t="s">
        <v>9039</v>
      </c>
    </row>
    <row r="1348" spans="1:2">
      <c r="A1348" t="s">
        <v>8529</v>
      </c>
      <c r="B1348" t="s">
        <v>8530</v>
      </c>
    </row>
    <row r="1349" spans="1:2">
      <c r="A1349" t="s">
        <v>7954</v>
      </c>
      <c r="B1349" t="s">
        <v>7955</v>
      </c>
    </row>
    <row r="1350" spans="1:2">
      <c r="A1350" t="s">
        <v>7682</v>
      </c>
      <c r="B1350" t="s">
        <v>7683</v>
      </c>
    </row>
    <row r="1351" spans="1:2">
      <c r="A1351" t="s">
        <v>7697</v>
      </c>
      <c r="B1351" t="s">
        <v>7698</v>
      </c>
    </row>
    <row r="1352" spans="1:2">
      <c r="A1352" t="s">
        <v>7591</v>
      </c>
      <c r="B1352" t="s">
        <v>8803</v>
      </c>
    </row>
    <row r="1353" spans="1:2">
      <c r="A1353" t="s">
        <v>7971</v>
      </c>
      <c r="B1353" t="s">
        <v>7972</v>
      </c>
    </row>
    <row r="1354" spans="1:2">
      <c r="A1354" t="s">
        <v>7956</v>
      </c>
      <c r="B1354" t="s">
        <v>7957</v>
      </c>
    </row>
    <row r="1355" spans="1:2">
      <c r="A1355" t="s">
        <v>6327</v>
      </c>
      <c r="B1355" t="s">
        <v>6328</v>
      </c>
    </row>
    <row r="1356" spans="1:2">
      <c r="A1356" t="s">
        <v>7960</v>
      </c>
      <c r="B1356" t="s">
        <v>7961</v>
      </c>
    </row>
    <row r="1357" spans="1:2">
      <c r="A1357" t="s">
        <v>7828</v>
      </c>
      <c r="B1357" t="s">
        <v>7829</v>
      </c>
    </row>
    <row r="1358" spans="1:2">
      <c r="A1358" t="s">
        <v>7620</v>
      </c>
      <c r="B1358" t="s">
        <v>7621</v>
      </c>
    </row>
    <row r="1359" spans="1:2">
      <c r="A1359" t="s">
        <v>8129</v>
      </c>
      <c r="B1359" t="s">
        <v>8130</v>
      </c>
    </row>
    <row r="1360" spans="1:2">
      <c r="A1360" t="s">
        <v>7421</v>
      </c>
      <c r="B1360" t="s">
        <v>7422</v>
      </c>
    </row>
    <row r="1361" spans="1:2">
      <c r="A1361" t="s">
        <v>7543</v>
      </c>
      <c r="B1361" t="s">
        <v>7544</v>
      </c>
    </row>
    <row r="1362" spans="1:2">
      <c r="A1362" t="s">
        <v>7921</v>
      </c>
      <c r="B1362" t="s">
        <v>7922</v>
      </c>
    </row>
    <row r="1363" spans="1:2">
      <c r="A1363" t="s">
        <v>7944</v>
      </c>
      <c r="B1363" t="s">
        <v>7945</v>
      </c>
    </row>
    <row r="1364" spans="1:2">
      <c r="A1364" t="s">
        <v>7707</v>
      </c>
      <c r="B1364" t="s">
        <v>7708</v>
      </c>
    </row>
    <row r="1365" spans="1:2">
      <c r="A1365" t="s">
        <v>7968</v>
      </c>
      <c r="B1365" t="s">
        <v>8512</v>
      </c>
    </row>
    <row r="1366" spans="1:2">
      <c r="A1366" t="s">
        <v>7982</v>
      </c>
      <c r="B1366" t="s">
        <v>9465</v>
      </c>
    </row>
    <row r="1367" spans="1:2">
      <c r="A1367" t="s">
        <v>7964</v>
      </c>
      <c r="B1367" t="s">
        <v>7965</v>
      </c>
    </row>
    <row r="1368" spans="1:2">
      <c r="A1368" t="s">
        <v>7831</v>
      </c>
      <c r="B1368" t="s">
        <v>7832</v>
      </c>
    </row>
    <row r="1369" spans="1:2">
      <c r="A1369" t="s">
        <v>7811</v>
      </c>
      <c r="B1369" t="s">
        <v>7812</v>
      </c>
    </row>
    <row r="1370" spans="1:2">
      <c r="A1370" t="s">
        <v>7789</v>
      </c>
      <c r="B1370" t="s">
        <v>7790</v>
      </c>
    </row>
    <row r="1371" spans="1:2">
      <c r="A1371" t="s">
        <v>7783</v>
      </c>
      <c r="B1371" t="s">
        <v>7784</v>
      </c>
    </row>
    <row r="1372" spans="1:2">
      <c r="A1372" t="s">
        <v>7907</v>
      </c>
      <c r="B1372" t="s">
        <v>7908</v>
      </c>
    </row>
    <row r="1373" spans="1:2">
      <c r="A1373" t="s">
        <v>7785</v>
      </c>
      <c r="B1373" t="s">
        <v>7786</v>
      </c>
    </row>
    <row r="1374" spans="1:2">
      <c r="A1374" t="s">
        <v>7356</v>
      </c>
      <c r="B1374" t="s">
        <v>7357</v>
      </c>
    </row>
    <row r="1375" spans="1:2">
      <c r="A1375" t="s">
        <v>7767</v>
      </c>
      <c r="B1375" t="s">
        <v>7768</v>
      </c>
    </row>
    <row r="1376" spans="1:2">
      <c r="A1376" t="s">
        <v>8033</v>
      </c>
      <c r="B1376" t="s">
        <v>8988</v>
      </c>
    </row>
    <row r="1377" spans="1:2">
      <c r="A1377" t="s">
        <v>7863</v>
      </c>
      <c r="B1377" t="s">
        <v>7864</v>
      </c>
    </row>
    <row r="1378" spans="1:2">
      <c r="A1378" t="s">
        <v>8031</v>
      </c>
      <c r="B1378" t="s">
        <v>8032</v>
      </c>
    </row>
    <row r="1379" spans="1:2">
      <c r="A1379" t="s">
        <v>7940</v>
      </c>
      <c r="B1379" t="s">
        <v>7941</v>
      </c>
    </row>
    <row r="1380" spans="1:2">
      <c r="A1380" t="s">
        <v>7693</v>
      </c>
      <c r="B1380" t="s">
        <v>7694</v>
      </c>
    </row>
    <row r="1381" spans="1:2">
      <c r="A1381" t="s">
        <v>7775</v>
      </c>
      <c r="B1381" t="s">
        <v>7776</v>
      </c>
    </row>
    <row r="1382" spans="1:2">
      <c r="A1382" t="s">
        <v>6622</v>
      </c>
      <c r="B1382" t="s">
        <v>6623</v>
      </c>
    </row>
    <row r="1383" spans="1:2">
      <c r="A1383" t="s">
        <v>8163</v>
      </c>
      <c r="B1383" t="s">
        <v>8164</v>
      </c>
    </row>
    <row r="1384" spans="1:2">
      <c r="A1384" t="s">
        <v>7759</v>
      </c>
      <c r="B1384" t="s">
        <v>7760</v>
      </c>
    </row>
    <row r="1385" spans="1:2">
      <c r="A1385" t="s">
        <v>7909</v>
      </c>
      <c r="B1385" t="s">
        <v>7910</v>
      </c>
    </row>
    <row r="1386" spans="1:2">
      <c r="A1386" t="s">
        <v>7989</v>
      </c>
      <c r="B1386" t="s">
        <v>7990</v>
      </c>
    </row>
    <row r="1387" spans="1:2">
      <c r="A1387" t="s">
        <v>7988</v>
      </c>
      <c r="B1387" t="s">
        <v>9296</v>
      </c>
    </row>
    <row r="1388" spans="1:2">
      <c r="A1388" t="s">
        <v>8038</v>
      </c>
      <c r="B1388" t="s">
        <v>8039</v>
      </c>
    </row>
    <row r="1389" spans="1:2">
      <c r="A1389" t="s">
        <v>8036</v>
      </c>
      <c r="B1389" t="s">
        <v>8037</v>
      </c>
    </row>
    <row r="1390" spans="1:2">
      <c r="A1390" t="s">
        <v>7838</v>
      </c>
      <c r="B1390" t="s">
        <v>7839</v>
      </c>
    </row>
    <row r="1391" spans="1:2">
      <c r="A1391" t="s">
        <v>8040</v>
      </c>
      <c r="B1391" t="s">
        <v>8041</v>
      </c>
    </row>
    <row r="1392" spans="1:2">
      <c r="A1392" t="s">
        <v>7893</v>
      </c>
      <c r="B1392" t="s">
        <v>7894</v>
      </c>
    </row>
    <row r="1393" spans="1:2">
      <c r="A1393" t="s">
        <v>7887</v>
      </c>
      <c r="B1393" t="s">
        <v>7888</v>
      </c>
    </row>
    <row r="1394" spans="1:2">
      <c r="A1394" t="s">
        <v>7820</v>
      </c>
      <c r="B1394" t="s">
        <v>7821</v>
      </c>
    </row>
    <row r="1395" spans="1:2">
      <c r="A1395" t="s">
        <v>7373</v>
      </c>
      <c r="B1395" t="s">
        <v>7374</v>
      </c>
    </row>
    <row r="1396" spans="1:2">
      <c r="A1396" t="s">
        <v>8044</v>
      </c>
      <c r="B1396" t="s">
        <v>8045</v>
      </c>
    </row>
    <row r="1397" spans="1:2">
      <c r="A1397" t="s">
        <v>7899</v>
      </c>
      <c r="B1397" t="s">
        <v>7900</v>
      </c>
    </row>
    <row r="1398" spans="1:2">
      <c r="A1398" t="s">
        <v>7923</v>
      </c>
      <c r="B1398" t="s">
        <v>7924</v>
      </c>
    </row>
    <row r="1399" spans="1:2">
      <c r="A1399" t="s">
        <v>7999</v>
      </c>
      <c r="B1399" t="s">
        <v>8000</v>
      </c>
    </row>
    <row r="1400" spans="1:2">
      <c r="A1400" t="s">
        <v>7867</v>
      </c>
      <c r="B1400" t="s">
        <v>7868</v>
      </c>
    </row>
    <row r="1401" spans="1:2">
      <c r="A1401" t="s">
        <v>7913</v>
      </c>
      <c r="B1401" t="s">
        <v>7914</v>
      </c>
    </row>
    <row r="1402" spans="1:2">
      <c r="A1402" t="s">
        <v>7633</v>
      </c>
      <c r="B1402" t="s">
        <v>7634</v>
      </c>
    </row>
    <row r="1403" spans="1:2">
      <c r="A1403" t="s">
        <v>7781</v>
      </c>
      <c r="B1403" t="s">
        <v>7782</v>
      </c>
    </row>
    <row r="1404" spans="1:2">
      <c r="A1404" t="s">
        <v>7925</v>
      </c>
      <c r="B1404" t="s">
        <v>7926</v>
      </c>
    </row>
    <row r="1405" spans="1:2">
      <c r="A1405" t="s">
        <v>8030</v>
      </c>
      <c r="B1405" t="s">
        <v>8610</v>
      </c>
    </row>
    <row r="1406" spans="1:2">
      <c r="A1406" t="s">
        <v>9421</v>
      </c>
      <c r="B1406" t="s">
        <v>9422</v>
      </c>
    </row>
    <row r="1407" spans="1:2">
      <c r="A1407" t="s">
        <v>8049</v>
      </c>
      <c r="B1407" t="s">
        <v>8050</v>
      </c>
    </row>
    <row r="1408" spans="1:2">
      <c r="A1408" t="s">
        <v>7689</v>
      </c>
      <c r="B1408" t="s">
        <v>7690</v>
      </c>
    </row>
    <row r="1409" spans="1:2">
      <c r="A1409" t="s">
        <v>7991</v>
      </c>
      <c r="B1409" t="s">
        <v>7992</v>
      </c>
    </row>
    <row r="1410" spans="1:2">
      <c r="A1410" t="s">
        <v>7547</v>
      </c>
      <c r="B1410" t="s">
        <v>7548</v>
      </c>
    </row>
    <row r="1411" spans="1:2">
      <c r="A1411" t="s">
        <v>7763</v>
      </c>
      <c r="B1411" t="s">
        <v>7764</v>
      </c>
    </row>
    <row r="1412" spans="1:2">
      <c r="A1412" t="s">
        <v>8057</v>
      </c>
      <c r="B1412" t="s">
        <v>8058</v>
      </c>
    </row>
    <row r="1413" spans="1:2">
      <c r="A1413" t="s">
        <v>9109</v>
      </c>
      <c r="B1413" t="s">
        <v>9110</v>
      </c>
    </row>
    <row r="1414" spans="1:2">
      <c r="A1414" t="s">
        <v>6538</v>
      </c>
      <c r="B1414" t="s">
        <v>6539</v>
      </c>
    </row>
    <row r="1415" spans="1:2">
      <c r="A1415" t="s">
        <v>7327</v>
      </c>
      <c r="B1415" t="s">
        <v>7328</v>
      </c>
    </row>
    <row r="1416" spans="1:2">
      <c r="A1416" t="s">
        <v>8059</v>
      </c>
      <c r="B1416" t="s">
        <v>8060</v>
      </c>
    </row>
    <row r="1417" spans="1:2">
      <c r="A1417" t="s">
        <v>8017</v>
      </c>
      <c r="B1417" t="s">
        <v>9175</v>
      </c>
    </row>
    <row r="1418" spans="1:2">
      <c r="A1418" t="s">
        <v>8061</v>
      </c>
      <c r="B1418" t="s">
        <v>8062</v>
      </c>
    </row>
    <row r="1419" spans="1:2">
      <c r="A1419" t="s">
        <v>8065</v>
      </c>
      <c r="B1419" t="s">
        <v>9159</v>
      </c>
    </row>
    <row r="1420" spans="1:2">
      <c r="A1420" t="s">
        <v>7927</v>
      </c>
      <c r="B1420" t="s">
        <v>7928</v>
      </c>
    </row>
    <row r="1421" spans="1:2">
      <c r="A1421" t="s">
        <v>7897</v>
      </c>
      <c r="B1421" t="s">
        <v>7898</v>
      </c>
    </row>
    <row r="1422" spans="1:2">
      <c r="A1422" t="s">
        <v>7761</v>
      </c>
      <c r="B1422" t="s">
        <v>7762</v>
      </c>
    </row>
    <row r="1423" spans="1:2">
      <c r="A1423" t="s">
        <v>7745</v>
      </c>
      <c r="B1423" t="s">
        <v>7746</v>
      </c>
    </row>
    <row r="1424" spans="1:2">
      <c r="A1424" t="s">
        <v>7995</v>
      </c>
      <c r="B1424" t="s">
        <v>7996</v>
      </c>
    </row>
    <row r="1425" spans="1:2">
      <c r="A1425" t="s">
        <v>8051</v>
      </c>
      <c r="B1425" t="s">
        <v>9324</v>
      </c>
    </row>
    <row r="1426" spans="1:2">
      <c r="A1426" t="s">
        <v>7526</v>
      </c>
      <c r="B1426" t="s">
        <v>7527</v>
      </c>
    </row>
    <row r="1427" spans="1:2">
      <c r="A1427" t="s">
        <v>8796</v>
      </c>
      <c r="B1427" t="s">
        <v>8797</v>
      </c>
    </row>
    <row r="1428" spans="1:2">
      <c r="A1428" t="s">
        <v>7791</v>
      </c>
      <c r="B1428" t="s">
        <v>7792</v>
      </c>
    </row>
    <row r="1429" spans="1:2">
      <c r="A1429" t="s">
        <v>6959</v>
      </c>
      <c r="B1429" t="s">
        <v>6960</v>
      </c>
    </row>
    <row r="1430" spans="1:2">
      <c r="A1430" t="s">
        <v>8054</v>
      </c>
      <c r="B1430" t="s">
        <v>8055</v>
      </c>
    </row>
    <row r="1431" spans="1:2">
      <c r="A1431" t="s">
        <v>7701</v>
      </c>
      <c r="B1431" t="s">
        <v>7702</v>
      </c>
    </row>
    <row r="1432" spans="1:2">
      <c r="A1432" t="s">
        <v>7950</v>
      </c>
      <c r="B1432" t="s">
        <v>7951</v>
      </c>
    </row>
    <row r="1433" spans="1:2">
      <c r="A1433" t="s">
        <v>7129</v>
      </c>
      <c r="B1433" t="s">
        <v>7130</v>
      </c>
    </row>
    <row r="1434" spans="1:2">
      <c r="A1434" t="s">
        <v>8110</v>
      </c>
      <c r="B1434" t="s">
        <v>8111</v>
      </c>
    </row>
    <row r="1435" spans="1:2">
      <c r="A1435" t="s">
        <v>8112</v>
      </c>
      <c r="B1435" t="s">
        <v>8113</v>
      </c>
    </row>
    <row r="1436" spans="1:2">
      <c r="A1436" t="s">
        <v>6159</v>
      </c>
      <c r="B1436" t="s">
        <v>6160</v>
      </c>
    </row>
    <row r="1437" spans="1:2">
      <c r="A1437" t="s">
        <v>7799</v>
      </c>
      <c r="B1437" t="s">
        <v>7800</v>
      </c>
    </row>
    <row r="1438" spans="1:2">
      <c r="A1438" t="s">
        <v>7771</v>
      </c>
      <c r="B1438" t="s">
        <v>7772</v>
      </c>
    </row>
    <row r="1439" spans="1:2">
      <c r="A1439" t="s">
        <v>7993</v>
      </c>
      <c r="B1439" t="s">
        <v>7994</v>
      </c>
    </row>
    <row r="1440" spans="1:2">
      <c r="A1440" t="s">
        <v>8119</v>
      </c>
      <c r="B1440" t="s">
        <v>8120</v>
      </c>
    </row>
    <row r="1441" spans="1:2">
      <c r="A1441" t="s">
        <v>6009</v>
      </c>
      <c r="B1441" t="s">
        <v>6010</v>
      </c>
    </row>
    <row r="1442" spans="1:2">
      <c r="A1442" t="s">
        <v>8117</v>
      </c>
      <c r="B1442" t="s">
        <v>8118</v>
      </c>
    </row>
    <row r="1443" spans="1:2">
      <c r="A1443" t="s">
        <v>9368</v>
      </c>
      <c r="B1443" t="s">
        <v>9369</v>
      </c>
    </row>
    <row r="1444" spans="1:2">
      <c r="A1444" t="s">
        <v>7612</v>
      </c>
      <c r="B1444" t="s">
        <v>7613</v>
      </c>
    </row>
    <row r="1445" spans="1:2">
      <c r="A1445" t="s">
        <v>8056</v>
      </c>
      <c r="B1445" t="s">
        <v>8943</v>
      </c>
    </row>
    <row r="1446" spans="1:2">
      <c r="A1446" t="s">
        <v>7970</v>
      </c>
      <c r="B1446" t="s">
        <v>9062</v>
      </c>
    </row>
    <row r="1447" spans="1:2">
      <c r="A1447" t="s">
        <v>8124</v>
      </c>
      <c r="B1447" t="s">
        <v>8125</v>
      </c>
    </row>
    <row r="1448" spans="1:2">
      <c r="A1448" t="s">
        <v>7850</v>
      </c>
      <c r="B1448" t="s">
        <v>7851</v>
      </c>
    </row>
    <row r="1449" spans="1:2">
      <c r="A1449" t="s">
        <v>9000</v>
      </c>
      <c r="B1449" t="s">
        <v>9001</v>
      </c>
    </row>
    <row r="1450" spans="1:2">
      <c r="A1450" t="s">
        <v>8121</v>
      </c>
      <c r="B1450" t="s">
        <v>8122</v>
      </c>
    </row>
    <row r="1451" spans="1:2">
      <c r="A1451" t="s">
        <v>8019</v>
      </c>
      <c r="B1451" t="s">
        <v>8020</v>
      </c>
    </row>
    <row r="1452" spans="1:2">
      <c r="A1452" t="s">
        <v>7980</v>
      </c>
      <c r="B1452" t="s">
        <v>7981</v>
      </c>
    </row>
    <row r="1453" spans="1:2">
      <c r="A1453" t="s">
        <v>8147</v>
      </c>
      <c r="B1453" t="s">
        <v>8148</v>
      </c>
    </row>
    <row r="1454" spans="1:2">
      <c r="A1454" t="s">
        <v>8133</v>
      </c>
      <c r="B1454" t="s">
        <v>8134</v>
      </c>
    </row>
    <row r="1455" spans="1:2">
      <c r="A1455" t="s">
        <v>7807</v>
      </c>
      <c r="B1455" t="s">
        <v>7808</v>
      </c>
    </row>
    <row r="1456" spans="1:2">
      <c r="A1456" t="s">
        <v>6596</v>
      </c>
      <c r="B1456" t="s">
        <v>6597</v>
      </c>
    </row>
    <row r="1457" spans="1:2">
      <c r="A1457" t="s">
        <v>7854</v>
      </c>
      <c r="B1457" t="s">
        <v>7855</v>
      </c>
    </row>
    <row r="1458" spans="1:2">
      <c r="A1458" t="s">
        <v>7519</v>
      </c>
      <c r="B1458" t="s">
        <v>7520</v>
      </c>
    </row>
    <row r="1459" spans="1:2">
      <c r="A1459" t="s">
        <v>8136</v>
      </c>
      <c r="B1459" t="s">
        <v>8137</v>
      </c>
    </row>
    <row r="1460" spans="1:2">
      <c r="A1460" t="s">
        <v>7822</v>
      </c>
      <c r="B1460" t="s">
        <v>7823</v>
      </c>
    </row>
    <row r="1461" spans="1:2">
      <c r="A1461" t="s">
        <v>8131</v>
      </c>
      <c r="B1461" t="s">
        <v>9131</v>
      </c>
    </row>
    <row r="1462" spans="1:2">
      <c r="A1462" t="s">
        <v>7803</v>
      </c>
      <c r="B1462" t="s">
        <v>7804</v>
      </c>
    </row>
    <row r="1463" spans="1:2">
      <c r="A1463" t="s">
        <v>7777</v>
      </c>
      <c r="B1463" t="s">
        <v>7778</v>
      </c>
    </row>
    <row r="1464" spans="1:2">
      <c r="A1464" t="s">
        <v>5525</v>
      </c>
      <c r="B1464" t="s">
        <v>5526</v>
      </c>
    </row>
    <row r="1465" spans="1:2">
      <c r="A1465" t="s">
        <v>9089</v>
      </c>
      <c r="B1465" t="s">
        <v>9090</v>
      </c>
    </row>
    <row r="1466" spans="1:2">
      <c r="A1466" t="s">
        <v>8141</v>
      </c>
      <c r="B1466" t="s">
        <v>8142</v>
      </c>
    </row>
    <row r="1467" spans="1:2">
      <c r="A1467" t="s">
        <v>7962</v>
      </c>
      <c r="B1467" t="s">
        <v>7963</v>
      </c>
    </row>
    <row r="1468" spans="1:2">
      <c r="A1468" t="s">
        <v>8095</v>
      </c>
      <c r="B1468" t="s">
        <v>8677</v>
      </c>
    </row>
    <row r="1469" spans="1:2">
      <c r="A1469" t="s">
        <v>8135</v>
      </c>
      <c r="B1469" t="s">
        <v>9477</v>
      </c>
    </row>
    <row r="1470" spans="1:2">
      <c r="A1470" t="s">
        <v>8083</v>
      </c>
      <c r="B1470" t="s">
        <v>8084</v>
      </c>
    </row>
    <row r="1471" spans="1:2">
      <c r="A1471" t="s">
        <v>8524</v>
      </c>
      <c r="B1471" t="s">
        <v>9285</v>
      </c>
    </row>
    <row r="1472" spans="1:2">
      <c r="A1472" t="s">
        <v>7797</v>
      </c>
      <c r="B1472" t="s">
        <v>7798</v>
      </c>
    </row>
    <row r="1473" spans="1:2">
      <c r="A1473" t="s">
        <v>7873</v>
      </c>
      <c r="B1473" t="s">
        <v>7874</v>
      </c>
    </row>
    <row r="1474" spans="1:2">
      <c r="A1474" t="s">
        <v>5661</v>
      </c>
      <c r="B1474" t="s">
        <v>5662</v>
      </c>
    </row>
    <row r="1475" spans="1:2">
      <c r="A1475" t="s">
        <v>8068</v>
      </c>
      <c r="B1475" t="s">
        <v>8719</v>
      </c>
    </row>
    <row r="1476" spans="1:2">
      <c r="A1476" t="s">
        <v>9432</v>
      </c>
      <c r="B1476" t="s">
        <v>9433</v>
      </c>
    </row>
    <row r="1477" spans="1:2">
      <c r="A1477" t="s">
        <v>9518</v>
      </c>
      <c r="B1477" t="s">
        <v>9519</v>
      </c>
    </row>
    <row r="1478" spans="1:2">
      <c r="A1478" t="s">
        <v>9054</v>
      </c>
      <c r="B1478" t="s">
        <v>9055</v>
      </c>
    </row>
    <row r="1479" spans="1:2">
      <c r="A1479" t="s">
        <v>8804</v>
      </c>
      <c r="B1479" t="s">
        <v>8805</v>
      </c>
    </row>
    <row r="1480" spans="1:2">
      <c r="A1480" t="s">
        <v>8983</v>
      </c>
      <c r="B1480" t="s">
        <v>8984</v>
      </c>
    </row>
    <row r="1481" spans="1:2">
      <c r="A1481" t="s">
        <v>8153</v>
      </c>
      <c r="B1481" t="s">
        <v>8154</v>
      </c>
    </row>
    <row r="1482" spans="1:2">
      <c r="A1482" t="s">
        <v>8123</v>
      </c>
      <c r="B1482" t="s">
        <v>9460</v>
      </c>
    </row>
    <row r="1483" spans="1:2">
      <c r="A1483" t="s">
        <v>5789</v>
      </c>
      <c r="B1483" t="s">
        <v>9162</v>
      </c>
    </row>
    <row r="1484" spans="1:2">
      <c r="A1484" t="s">
        <v>7614</v>
      </c>
      <c r="B1484" t="s">
        <v>7615</v>
      </c>
    </row>
    <row r="1485" spans="1:2">
      <c r="A1485" t="s">
        <v>7637</v>
      </c>
      <c r="B1485" t="s">
        <v>7638</v>
      </c>
    </row>
    <row r="1486" spans="1:2">
      <c r="A1486" t="s">
        <v>8101</v>
      </c>
      <c r="B1486" t="s">
        <v>8102</v>
      </c>
    </row>
    <row r="1487" spans="1:2">
      <c r="A1487" t="s">
        <v>7915</v>
      </c>
      <c r="B1487" t="s">
        <v>7916</v>
      </c>
    </row>
    <row r="1488" spans="1:2">
      <c r="A1488" t="s">
        <v>7879</v>
      </c>
      <c r="B1488" t="s">
        <v>7880</v>
      </c>
    </row>
    <row r="1489" spans="1:2">
      <c r="A1489" t="s">
        <v>8015</v>
      </c>
      <c r="B1489" t="s">
        <v>8016</v>
      </c>
    </row>
    <row r="1490" spans="1:2">
      <c r="A1490" t="s">
        <v>5349</v>
      </c>
      <c r="B1490" t="s">
        <v>8959</v>
      </c>
    </row>
    <row r="1491" spans="1:2">
      <c r="A1491" t="s">
        <v>7805</v>
      </c>
      <c r="B1491" t="s">
        <v>7806</v>
      </c>
    </row>
    <row r="1492" spans="1:2">
      <c r="A1492" t="s">
        <v>8103</v>
      </c>
      <c r="B1492" t="s">
        <v>8104</v>
      </c>
    </row>
    <row r="1493" spans="1:2">
      <c r="A1493" t="s">
        <v>8087</v>
      </c>
      <c r="B1493" t="s">
        <v>8088</v>
      </c>
    </row>
    <row r="1494" spans="1:2">
      <c r="A1494" t="s">
        <v>8025</v>
      </c>
      <c r="B1494" t="s">
        <v>8026</v>
      </c>
    </row>
    <row r="1495" spans="1:2">
      <c r="A1495" t="s">
        <v>8157</v>
      </c>
      <c r="B1495" t="s">
        <v>8158</v>
      </c>
    </row>
    <row r="1496" spans="1:2">
      <c r="A1496" t="s">
        <v>8572</v>
      </c>
      <c r="B1496" t="s">
        <v>8573</v>
      </c>
    </row>
    <row r="1497" spans="1:2">
      <c r="A1497" t="s">
        <v>7725</v>
      </c>
      <c r="B1497" t="s">
        <v>7726</v>
      </c>
    </row>
    <row r="1498" spans="1:2">
      <c r="A1498" t="s">
        <v>7885</v>
      </c>
      <c r="B1498" t="s">
        <v>7886</v>
      </c>
    </row>
    <row r="1499" spans="1:2">
      <c r="A1499" t="s">
        <v>8089</v>
      </c>
      <c r="B1499" t="s">
        <v>8090</v>
      </c>
    </row>
    <row r="1500" spans="1:2">
      <c r="A1500" t="s">
        <v>7871</v>
      </c>
      <c r="B1500" t="s">
        <v>7872</v>
      </c>
    </row>
    <row r="1501" spans="1:2">
      <c r="A1501" t="s">
        <v>8114</v>
      </c>
      <c r="B1501" t="s">
        <v>8115</v>
      </c>
    </row>
    <row r="1502" spans="1:2">
      <c r="A1502" t="s">
        <v>7596</v>
      </c>
      <c r="B1502" t="s">
        <v>7597</v>
      </c>
    </row>
    <row r="1503" spans="1:2">
      <c r="A1503" t="s">
        <v>8079</v>
      </c>
      <c r="B1503" t="s">
        <v>8080</v>
      </c>
    </row>
    <row r="1504" spans="1:2">
      <c r="A1504" t="s">
        <v>7495</v>
      </c>
      <c r="B1504" t="s">
        <v>7496</v>
      </c>
    </row>
    <row r="1505" spans="1:2">
      <c r="A1505" t="s">
        <v>8127</v>
      </c>
      <c r="B1505" t="s">
        <v>8128</v>
      </c>
    </row>
    <row r="1506" spans="1:2">
      <c r="A1506" t="s">
        <v>8537</v>
      </c>
      <c r="B1506" t="s">
        <v>8538</v>
      </c>
    </row>
    <row r="1507" spans="1:2">
      <c r="A1507" t="s">
        <v>8159</v>
      </c>
      <c r="B1507" t="s">
        <v>8160</v>
      </c>
    </row>
    <row r="1508" spans="1:2">
      <c r="A1508" t="s">
        <v>7977</v>
      </c>
      <c r="B1508" t="s">
        <v>8700</v>
      </c>
    </row>
    <row r="1509" spans="1:2">
      <c r="A1509" t="s">
        <v>9535</v>
      </c>
      <c r="B1509" t="s">
        <v>9536</v>
      </c>
    </row>
    <row r="1510" spans="1:2">
      <c r="A1510" t="s">
        <v>8165</v>
      </c>
      <c r="B1510" t="s">
        <v>8166</v>
      </c>
    </row>
    <row r="1511" spans="1:2">
      <c r="A1511" t="s">
        <v>9124</v>
      </c>
      <c r="B1511" t="s">
        <v>9125</v>
      </c>
    </row>
    <row r="1512" spans="1:2">
      <c r="A1512" t="s">
        <v>6666</v>
      </c>
      <c r="B1512" t="s">
        <v>6667</v>
      </c>
    </row>
    <row r="1513" spans="1:2">
      <c r="A1513" t="s">
        <v>7973</v>
      </c>
      <c r="B1513" t="s">
        <v>7974</v>
      </c>
    </row>
    <row r="1514" spans="1:2">
      <c r="A1514" t="s">
        <v>8171</v>
      </c>
      <c r="B1514" t="s">
        <v>8172</v>
      </c>
    </row>
    <row r="1515" spans="1:2">
      <c r="A1515" t="s">
        <v>8027</v>
      </c>
      <c r="B1515" t="s">
        <v>9256</v>
      </c>
    </row>
    <row r="1516" spans="1:2">
      <c r="A1516" t="s">
        <v>8028</v>
      </c>
      <c r="B1516" t="s">
        <v>8029</v>
      </c>
    </row>
    <row r="1517" spans="1:2">
      <c r="A1517" t="s">
        <v>7942</v>
      </c>
      <c r="B1517" t="s">
        <v>7943</v>
      </c>
    </row>
    <row r="1518" spans="1:2">
      <c r="A1518" t="s">
        <v>8169</v>
      </c>
      <c r="B1518" t="s">
        <v>8170</v>
      </c>
    </row>
    <row r="1519" spans="1:2">
      <c r="A1519" t="s">
        <v>8167</v>
      </c>
      <c r="B1519" t="s">
        <v>8168</v>
      </c>
    </row>
    <row r="1520" spans="1:2">
      <c r="A1520" t="s">
        <v>6933</v>
      </c>
      <c r="B1520" t="s">
        <v>6934</v>
      </c>
    </row>
    <row r="1521" spans="1:2">
      <c r="A1521" t="s">
        <v>8105</v>
      </c>
      <c r="B1521" t="s">
        <v>8966</v>
      </c>
    </row>
    <row r="1522" spans="1:2">
      <c r="A1522" t="s">
        <v>7586</v>
      </c>
      <c r="B1522" t="s">
        <v>7587</v>
      </c>
    </row>
    <row r="1523" spans="1:2">
      <c r="A1523" t="s">
        <v>8126</v>
      </c>
      <c r="B1523" t="s">
        <v>9153</v>
      </c>
    </row>
    <row r="1524" spans="1:2">
      <c r="A1524" t="s">
        <v>8179</v>
      </c>
      <c r="B1524" t="s">
        <v>8180</v>
      </c>
    </row>
    <row r="1525" spans="1:2">
      <c r="A1525" t="s">
        <v>7975</v>
      </c>
      <c r="B1525" t="s">
        <v>7976</v>
      </c>
    </row>
    <row r="1526" spans="1:2">
      <c r="A1526" t="s">
        <v>9435</v>
      </c>
      <c r="B1526" t="s">
        <v>9436</v>
      </c>
    </row>
    <row r="1527" spans="1:2">
      <c r="A1527" t="s">
        <v>8173</v>
      </c>
      <c r="B1527" t="s">
        <v>8174</v>
      </c>
    </row>
    <row r="1528" spans="1:2">
      <c r="A1528" t="s">
        <v>8075</v>
      </c>
      <c r="B1528" t="s">
        <v>8076</v>
      </c>
    </row>
    <row r="1529" spans="1:2">
      <c r="A1529" t="s">
        <v>8539</v>
      </c>
      <c r="B1529" t="s">
        <v>8540</v>
      </c>
    </row>
    <row r="1530" spans="1:2">
      <c r="A1530" t="s">
        <v>8175</v>
      </c>
      <c r="B1530" t="s">
        <v>8176</v>
      </c>
    </row>
    <row r="1531" spans="1:2">
      <c r="A1531" t="s">
        <v>8005</v>
      </c>
      <c r="B1531" t="s">
        <v>8006</v>
      </c>
    </row>
    <row r="1532" spans="1:2">
      <c r="A1532" t="s">
        <v>7307</v>
      </c>
      <c r="B1532" t="s">
        <v>7308</v>
      </c>
    </row>
    <row r="1533" spans="1:2">
      <c r="A1533" t="s">
        <v>8139</v>
      </c>
      <c r="B1533" t="s">
        <v>8140</v>
      </c>
    </row>
    <row r="1534" spans="1:2">
      <c r="A1534" t="s">
        <v>8732</v>
      </c>
      <c r="B1534" t="s">
        <v>9250</v>
      </c>
    </row>
    <row r="1535" spans="1:2">
      <c r="A1535" t="s">
        <v>6971</v>
      </c>
      <c r="B1535" t="s">
        <v>6972</v>
      </c>
    </row>
    <row r="1536" spans="1:2">
      <c r="A1536" t="s">
        <v>8023</v>
      </c>
      <c r="B1536" t="s">
        <v>8024</v>
      </c>
    </row>
    <row r="1537" spans="1:2">
      <c r="A1537" t="s">
        <v>8177</v>
      </c>
      <c r="B1537" t="s">
        <v>8178</v>
      </c>
    </row>
    <row r="1538" spans="1:2">
      <c r="A1538" t="s">
        <v>8196</v>
      </c>
      <c r="B1538" t="s">
        <v>8197</v>
      </c>
    </row>
    <row r="1539" spans="1:2">
      <c r="A1539" t="s">
        <v>8011</v>
      </c>
      <c r="B1539" t="s">
        <v>8012</v>
      </c>
    </row>
    <row r="1540" spans="1:2">
      <c r="A1540" t="s">
        <v>8205</v>
      </c>
      <c r="B1540" t="s">
        <v>8206</v>
      </c>
    </row>
    <row r="1541" spans="1:2">
      <c r="A1541" t="s">
        <v>8194</v>
      </c>
      <c r="B1541" t="s">
        <v>8195</v>
      </c>
    </row>
    <row r="1542" spans="1:2">
      <c r="A1542" t="s">
        <v>8203</v>
      </c>
      <c r="B1542" t="s">
        <v>8204</v>
      </c>
    </row>
    <row r="1543" spans="1:2">
      <c r="A1543" t="s">
        <v>8185</v>
      </c>
      <c r="B1543" t="s">
        <v>8186</v>
      </c>
    </row>
    <row r="1544" spans="1:2">
      <c r="A1544" t="s">
        <v>8143</v>
      </c>
      <c r="B1544" t="s">
        <v>8144</v>
      </c>
    </row>
    <row r="1545" spans="1:2">
      <c r="A1545" t="s">
        <v>8518</v>
      </c>
      <c r="B1545" t="s">
        <v>8519</v>
      </c>
    </row>
    <row r="1546" spans="1:2">
      <c r="A1546" t="s">
        <v>9526</v>
      </c>
      <c r="B1546" t="s">
        <v>9527</v>
      </c>
    </row>
    <row r="1547" spans="1:2">
      <c r="A1547" t="s">
        <v>9242</v>
      </c>
      <c r="B1547" t="s">
        <v>9243</v>
      </c>
    </row>
    <row r="1548" spans="1:2">
      <c r="A1548" t="s">
        <v>7485</v>
      </c>
      <c r="B1548" t="s">
        <v>7486</v>
      </c>
    </row>
    <row r="1549" spans="1:2">
      <c r="A1549" t="s">
        <v>7966</v>
      </c>
      <c r="B1549" t="s">
        <v>7967</v>
      </c>
    </row>
    <row r="1550" spans="1:2">
      <c r="A1550" t="s">
        <v>8207</v>
      </c>
      <c r="B1550" t="s">
        <v>8208</v>
      </c>
    </row>
    <row r="1551" spans="1:2">
      <c r="A1551" t="s">
        <v>8209</v>
      </c>
      <c r="B1551" t="s">
        <v>8210</v>
      </c>
    </row>
    <row r="1552" spans="1:2">
      <c r="A1552" t="s">
        <v>8047</v>
      </c>
      <c r="B1552" t="s">
        <v>8048</v>
      </c>
    </row>
    <row r="1553" spans="1:2">
      <c r="A1553" t="s">
        <v>7602</v>
      </c>
      <c r="B1553" t="s">
        <v>7603</v>
      </c>
    </row>
    <row r="1554" spans="1:2">
      <c r="A1554" t="s">
        <v>8052</v>
      </c>
      <c r="B1554" t="s">
        <v>8053</v>
      </c>
    </row>
    <row r="1555" spans="1:2">
      <c r="A1555" t="s">
        <v>8485</v>
      </c>
      <c r="B1555" t="s">
        <v>8486</v>
      </c>
    </row>
    <row r="1556" spans="1:2">
      <c r="A1556" t="s">
        <v>8093</v>
      </c>
      <c r="B1556" t="s">
        <v>8094</v>
      </c>
    </row>
    <row r="1557" spans="1:2">
      <c r="A1557" t="s">
        <v>9316</v>
      </c>
      <c r="B1557" t="s">
        <v>9317</v>
      </c>
    </row>
    <row r="1558" spans="1:2">
      <c r="A1558" t="s">
        <v>8215</v>
      </c>
      <c r="B1558" t="s">
        <v>8216</v>
      </c>
    </row>
    <row r="1559" spans="1:2">
      <c r="A1559" t="s">
        <v>8213</v>
      </c>
      <c r="B1559" t="s">
        <v>8214</v>
      </c>
    </row>
    <row r="1560" spans="1:2">
      <c r="A1560" t="s">
        <v>8211</v>
      </c>
      <c r="B1560" t="s">
        <v>8212</v>
      </c>
    </row>
    <row r="1561" spans="1:2">
      <c r="A1561" t="s">
        <v>6260</v>
      </c>
      <c r="B1561" t="s">
        <v>6261</v>
      </c>
    </row>
    <row r="1562" spans="1:2">
      <c r="A1562" t="s">
        <v>7727</v>
      </c>
      <c r="B1562" t="s">
        <v>8609</v>
      </c>
    </row>
    <row r="1563" spans="1:2">
      <c r="A1563" t="s">
        <v>7978</v>
      </c>
      <c r="B1563" t="s">
        <v>7979</v>
      </c>
    </row>
    <row r="1564" spans="1:2">
      <c r="A1564" t="s">
        <v>6687</v>
      </c>
      <c r="B1564" t="s">
        <v>6688</v>
      </c>
    </row>
    <row r="1565" spans="1:2">
      <c r="A1565" t="s">
        <v>7919</v>
      </c>
      <c r="B1565" t="s">
        <v>7920</v>
      </c>
    </row>
    <row r="1566" spans="1:2">
      <c r="A1566" t="s">
        <v>8217</v>
      </c>
      <c r="B1566" t="s">
        <v>8218</v>
      </c>
    </row>
    <row r="1567" spans="1:2">
      <c r="A1567" t="s">
        <v>7481</v>
      </c>
      <c r="B1567" t="s">
        <v>7482</v>
      </c>
    </row>
    <row r="1568" spans="1:2">
      <c r="A1568" t="s">
        <v>8191</v>
      </c>
      <c r="B1568" t="s">
        <v>9218</v>
      </c>
    </row>
    <row r="1569" spans="1:2">
      <c r="A1569" t="s">
        <v>8034</v>
      </c>
      <c r="B1569" t="s">
        <v>8035</v>
      </c>
    </row>
    <row r="1570" spans="1:2">
      <c r="A1570" t="s">
        <v>7983</v>
      </c>
      <c r="B1570" t="s">
        <v>7984</v>
      </c>
    </row>
    <row r="1571" spans="1:2">
      <c r="A1571" t="s">
        <v>7399</v>
      </c>
      <c r="B1571" t="s">
        <v>7400</v>
      </c>
    </row>
    <row r="1572" spans="1:2">
      <c r="A1572" t="s">
        <v>8219</v>
      </c>
      <c r="B1572" t="s">
        <v>8220</v>
      </c>
    </row>
    <row r="1573" spans="1:2">
      <c r="A1573" t="s">
        <v>8155</v>
      </c>
      <c r="B1573" t="s">
        <v>8156</v>
      </c>
    </row>
    <row r="1574" spans="1:2">
      <c r="A1574" t="s">
        <v>7813</v>
      </c>
      <c r="B1574" t="s">
        <v>7814</v>
      </c>
    </row>
    <row r="1575" spans="1:2">
      <c r="A1575" t="s">
        <v>8201</v>
      </c>
      <c r="B1575" t="s">
        <v>8202</v>
      </c>
    </row>
    <row r="1576" spans="1:2">
      <c r="A1576" t="s">
        <v>7889</v>
      </c>
      <c r="B1576" t="s">
        <v>7890</v>
      </c>
    </row>
    <row r="1577" spans="1:2">
      <c r="A1577" t="s">
        <v>8488</v>
      </c>
      <c r="B1577" t="s">
        <v>8489</v>
      </c>
    </row>
    <row r="1578" spans="1:2">
      <c r="A1578" t="s">
        <v>8085</v>
      </c>
      <c r="B1578" t="s">
        <v>8086</v>
      </c>
    </row>
    <row r="1579" spans="1:2">
      <c r="A1579" t="s">
        <v>8161</v>
      </c>
      <c r="B1579" t="s">
        <v>8162</v>
      </c>
    </row>
    <row r="1580" spans="1:2">
      <c r="A1580" t="s">
        <v>8228</v>
      </c>
      <c r="B1580" t="s">
        <v>8229</v>
      </c>
    </row>
    <row r="1581" spans="1:2">
      <c r="A1581" t="s">
        <v>7985</v>
      </c>
      <c r="B1581" t="s">
        <v>7986</v>
      </c>
    </row>
    <row r="1582" spans="1:2">
      <c r="A1582" t="s">
        <v>6879</v>
      </c>
      <c r="B1582" t="s">
        <v>6880</v>
      </c>
    </row>
    <row r="1583" spans="1:2">
      <c r="A1583" t="s">
        <v>8225</v>
      </c>
      <c r="B1583" t="s">
        <v>9223</v>
      </c>
    </row>
    <row r="1584" spans="1:2">
      <c r="A1584" t="s">
        <v>8232</v>
      </c>
      <c r="B1584" t="s">
        <v>8233</v>
      </c>
    </row>
    <row r="1585" spans="1:2">
      <c r="A1585" t="s">
        <v>8226</v>
      </c>
      <c r="B1585" t="s">
        <v>8227</v>
      </c>
    </row>
    <row r="1586" spans="1:2">
      <c r="A1586" t="s">
        <v>8145</v>
      </c>
      <c r="B1586" t="s">
        <v>8146</v>
      </c>
    </row>
    <row r="1587" spans="1:2">
      <c r="A1587" t="s">
        <v>8243</v>
      </c>
      <c r="B1587" t="s">
        <v>8244</v>
      </c>
    </row>
    <row r="1588" spans="1:2">
      <c r="A1588" t="s">
        <v>8001</v>
      </c>
      <c r="B1588" t="s">
        <v>8002</v>
      </c>
    </row>
    <row r="1589" spans="1:2">
      <c r="A1589" t="s">
        <v>8009</v>
      </c>
      <c r="B1589" t="s">
        <v>8010</v>
      </c>
    </row>
    <row r="1590" spans="1:2">
      <c r="A1590" t="s">
        <v>8091</v>
      </c>
      <c r="B1590" t="s">
        <v>8092</v>
      </c>
    </row>
    <row r="1591" spans="1:2">
      <c r="A1591" t="s">
        <v>7917</v>
      </c>
      <c r="B1591" t="s">
        <v>7918</v>
      </c>
    </row>
    <row r="1592" spans="1:2">
      <c r="A1592" t="s">
        <v>7905</v>
      </c>
      <c r="B1592" t="s">
        <v>7906</v>
      </c>
    </row>
    <row r="1593" spans="1:2">
      <c r="A1593" t="s">
        <v>7501</v>
      </c>
      <c r="B1593" t="s">
        <v>7502</v>
      </c>
    </row>
    <row r="1594" spans="1:2">
      <c r="A1594" t="s">
        <v>8183</v>
      </c>
      <c r="B1594" t="s">
        <v>8184</v>
      </c>
    </row>
    <row r="1595" spans="1:2">
      <c r="A1595" t="s">
        <v>6888</v>
      </c>
      <c r="B1595" t="s">
        <v>6889</v>
      </c>
    </row>
    <row r="1596" spans="1:2">
      <c r="A1596" t="s">
        <v>9156</v>
      </c>
      <c r="B1596" t="s">
        <v>9157</v>
      </c>
    </row>
    <row r="1597" spans="1:2">
      <c r="A1597" t="s">
        <v>8151</v>
      </c>
      <c r="B1597" t="s">
        <v>8152</v>
      </c>
    </row>
    <row r="1598" spans="1:2">
      <c r="A1598" t="s">
        <v>8099</v>
      </c>
      <c r="B1598" t="s">
        <v>8100</v>
      </c>
    </row>
    <row r="1599" spans="1:2">
      <c r="A1599" t="s">
        <v>8071</v>
      </c>
      <c r="B1599" t="s">
        <v>9033</v>
      </c>
    </row>
    <row r="1600" spans="1:2">
      <c r="A1600" t="s">
        <v>8249</v>
      </c>
      <c r="B1600" t="s">
        <v>8250</v>
      </c>
    </row>
    <row r="1601" spans="1:2">
      <c r="A1601" t="s">
        <v>7815</v>
      </c>
      <c r="B1601" t="s">
        <v>9522</v>
      </c>
    </row>
    <row r="1602" spans="1:2">
      <c r="A1602" t="s">
        <v>8675</v>
      </c>
      <c r="B1602" t="s">
        <v>8676</v>
      </c>
    </row>
    <row r="1603" spans="1:2">
      <c r="A1603" t="s">
        <v>8181</v>
      </c>
      <c r="B1603" t="s">
        <v>8182</v>
      </c>
    </row>
    <row r="1604" spans="1:2">
      <c r="A1604" t="s">
        <v>5559</v>
      </c>
      <c r="B1604" t="s">
        <v>5560</v>
      </c>
    </row>
    <row r="1605" spans="1:2">
      <c r="A1605" t="s">
        <v>9266</v>
      </c>
      <c r="B1605" t="s">
        <v>9267</v>
      </c>
    </row>
    <row r="1606" spans="1:2">
      <c r="A1606" t="s">
        <v>8574</v>
      </c>
      <c r="B1606" t="s">
        <v>8575</v>
      </c>
    </row>
    <row r="1607" spans="1:2">
      <c r="A1607" t="s">
        <v>8234</v>
      </c>
      <c r="B1607" t="s">
        <v>9297</v>
      </c>
    </row>
    <row r="1608" spans="1:2">
      <c r="A1608" t="s">
        <v>7997</v>
      </c>
      <c r="B1608" t="s">
        <v>7998</v>
      </c>
    </row>
    <row r="1609" spans="1:2">
      <c r="A1609" t="s">
        <v>8187</v>
      </c>
      <c r="B1609" t="s">
        <v>8188</v>
      </c>
    </row>
    <row r="1610" spans="1:2">
      <c r="A1610" t="s">
        <v>8108</v>
      </c>
      <c r="B1610" t="s">
        <v>8109</v>
      </c>
    </row>
    <row r="1611" spans="1:2">
      <c r="A1611" t="s">
        <v>8223</v>
      </c>
      <c r="B1611" t="s">
        <v>8224</v>
      </c>
    </row>
    <row r="1612" spans="1:2">
      <c r="A1612" t="s">
        <v>8543</v>
      </c>
      <c r="B1612" t="s">
        <v>8544</v>
      </c>
    </row>
    <row r="1613" spans="1:2">
      <c r="A1613" t="s">
        <v>7757</v>
      </c>
      <c r="B1613" t="s">
        <v>7758</v>
      </c>
    </row>
    <row r="1614" spans="1:2">
      <c r="A1614" t="s">
        <v>8667</v>
      </c>
      <c r="B1614" t="s">
        <v>8668</v>
      </c>
    </row>
    <row r="1615" spans="1:2">
      <c r="A1615" t="s">
        <v>8251</v>
      </c>
      <c r="B1615" t="s">
        <v>8252</v>
      </c>
    </row>
    <row r="1616" spans="1:2">
      <c r="A1616" t="s">
        <v>8800</v>
      </c>
      <c r="B1616" t="s">
        <v>8801</v>
      </c>
    </row>
    <row r="1617" spans="1:2">
      <c r="A1617" t="s">
        <v>8230</v>
      </c>
      <c r="B1617" t="s">
        <v>8231</v>
      </c>
    </row>
    <row r="1618" spans="1:2">
      <c r="A1618" t="s">
        <v>7901</v>
      </c>
      <c r="B1618" t="s">
        <v>7902</v>
      </c>
    </row>
    <row r="1619" spans="1:2">
      <c r="A1619" t="s">
        <v>8629</v>
      </c>
      <c r="B1619" t="s">
        <v>8630</v>
      </c>
    </row>
    <row r="1620" spans="1:2">
      <c r="A1620" t="s">
        <v>8063</v>
      </c>
      <c r="B1620" t="s">
        <v>8064</v>
      </c>
    </row>
    <row r="1621" spans="1:2">
      <c r="A1621" t="s">
        <v>8631</v>
      </c>
      <c r="B1621" t="s">
        <v>8632</v>
      </c>
    </row>
    <row r="1622" spans="1:2">
      <c r="A1622" t="s">
        <v>8591</v>
      </c>
      <c r="B1622" t="s">
        <v>8592</v>
      </c>
    </row>
    <row r="1623" spans="1:2">
      <c r="A1623" t="s">
        <v>7639</v>
      </c>
      <c r="B1623" t="s">
        <v>7640</v>
      </c>
    </row>
    <row r="1624" spans="1:2">
      <c r="A1624" t="s">
        <v>8235</v>
      </c>
      <c r="B1624" t="s">
        <v>8236</v>
      </c>
    </row>
    <row r="1625" spans="1:2">
      <c r="A1625" t="s">
        <v>8638</v>
      </c>
      <c r="B1625" t="s">
        <v>8639</v>
      </c>
    </row>
    <row r="1626" spans="1:2">
      <c r="A1626" t="s">
        <v>8253</v>
      </c>
      <c r="B1626" t="s">
        <v>8254</v>
      </c>
    </row>
    <row r="1627" spans="1:2">
      <c r="A1627" t="s">
        <v>8655</v>
      </c>
      <c r="B1627" t="s">
        <v>8656</v>
      </c>
    </row>
    <row r="1628" spans="1:2">
      <c r="A1628" t="s">
        <v>8256</v>
      </c>
      <c r="B1628" t="s">
        <v>8257</v>
      </c>
    </row>
    <row r="1629" spans="1:2">
      <c r="A1629" t="s">
        <v>9154</v>
      </c>
      <c r="B1629" t="s">
        <v>9155</v>
      </c>
    </row>
    <row r="1630" spans="1:2">
      <c r="A1630" t="s">
        <v>9189</v>
      </c>
      <c r="B1630" t="s">
        <v>9190</v>
      </c>
    </row>
    <row r="1631" spans="1:2">
      <c r="A1631" t="s">
        <v>8698</v>
      </c>
      <c r="B1631" t="s">
        <v>8699</v>
      </c>
    </row>
    <row r="1632" spans="1:2">
      <c r="A1632" t="s">
        <v>8138</v>
      </c>
      <c r="B1632" t="s">
        <v>9122</v>
      </c>
    </row>
    <row r="1633" spans="1:2">
      <c r="A1633" t="s">
        <v>7598</v>
      </c>
      <c r="B1633" t="s">
        <v>7599</v>
      </c>
    </row>
    <row r="1634" spans="1:2">
      <c r="A1634" t="s">
        <v>8299</v>
      </c>
      <c r="B1634" t="s">
        <v>8300</v>
      </c>
    </row>
    <row r="1635" spans="1:2">
      <c r="A1635" t="s">
        <v>8375</v>
      </c>
      <c r="B1635" t="s">
        <v>8376</v>
      </c>
    </row>
    <row r="1636" spans="1:2">
      <c r="A1636" t="s">
        <v>8046</v>
      </c>
      <c r="B1636" t="s">
        <v>9545</v>
      </c>
    </row>
    <row r="1637" spans="1:2">
      <c r="A1637" t="s">
        <v>7366</v>
      </c>
      <c r="B1637" t="s">
        <v>7367</v>
      </c>
    </row>
    <row r="1638" spans="1:2">
      <c r="A1638" t="s">
        <v>8066</v>
      </c>
      <c r="B1638" t="s">
        <v>8067</v>
      </c>
    </row>
    <row r="1639" spans="1:2">
      <c r="A1639" t="s">
        <v>8570</v>
      </c>
      <c r="B1639" t="s">
        <v>8571</v>
      </c>
    </row>
    <row r="1640" spans="1:2">
      <c r="A1640" t="s">
        <v>8258</v>
      </c>
      <c r="B1640" t="s">
        <v>8259</v>
      </c>
    </row>
    <row r="1641" spans="1:2">
      <c r="A1641" t="s">
        <v>8221</v>
      </c>
      <c r="B1641" t="s">
        <v>8222</v>
      </c>
    </row>
    <row r="1642" spans="1:2">
      <c r="A1642" t="s">
        <v>8192</v>
      </c>
      <c r="B1642" t="s">
        <v>8193</v>
      </c>
    </row>
    <row r="1643" spans="1:2">
      <c r="A1643" t="s">
        <v>9361</v>
      </c>
      <c r="B1643" t="s">
        <v>9362</v>
      </c>
    </row>
    <row r="1644" spans="1:2">
      <c r="A1644" t="s">
        <v>8021</v>
      </c>
      <c r="B1644" t="s">
        <v>8022</v>
      </c>
    </row>
    <row r="1645" spans="1:2">
      <c r="A1645" t="s">
        <v>8247</v>
      </c>
      <c r="B1645" t="s">
        <v>8248</v>
      </c>
    </row>
    <row r="1646" spans="1:2">
      <c r="A1646" t="s">
        <v>5520</v>
      </c>
      <c r="B1646" t="s">
        <v>5521</v>
      </c>
    </row>
    <row r="1647" spans="1:2">
      <c r="A1647" t="s">
        <v>8262</v>
      </c>
      <c r="B1647" t="s">
        <v>8263</v>
      </c>
    </row>
    <row r="1648" spans="1:2">
      <c r="A1648" t="s">
        <v>8728</v>
      </c>
      <c r="B1648" t="s">
        <v>8729</v>
      </c>
    </row>
    <row r="1649" spans="1:2">
      <c r="A1649" t="s">
        <v>8272</v>
      </c>
      <c r="B1649" t="s">
        <v>9219</v>
      </c>
    </row>
    <row r="1650" spans="1:2">
      <c r="A1650" t="s">
        <v>9260</v>
      </c>
      <c r="B1650" t="s">
        <v>9261</v>
      </c>
    </row>
    <row r="1651" spans="1:2">
      <c r="A1651" t="s">
        <v>7891</v>
      </c>
      <c r="B1651" t="s">
        <v>7892</v>
      </c>
    </row>
    <row r="1652" spans="1:2">
      <c r="A1652" t="s">
        <v>8255</v>
      </c>
      <c r="B1652" t="s">
        <v>8683</v>
      </c>
    </row>
    <row r="1653" spans="1:2">
      <c r="A1653" t="s">
        <v>8297</v>
      </c>
      <c r="B1653" t="s">
        <v>8298</v>
      </c>
    </row>
    <row r="1654" spans="1:2">
      <c r="A1654" t="s">
        <v>8200</v>
      </c>
      <c r="B1654" t="s">
        <v>9423</v>
      </c>
    </row>
    <row r="1655" spans="1:2">
      <c r="A1655" t="s">
        <v>8077</v>
      </c>
      <c r="B1655" t="s">
        <v>8078</v>
      </c>
    </row>
    <row r="1656" spans="1:2">
      <c r="A1656" t="s">
        <v>8279</v>
      </c>
      <c r="B1656" t="s">
        <v>8280</v>
      </c>
    </row>
    <row r="1657" spans="1:2">
      <c r="A1657" t="s">
        <v>8281</v>
      </c>
      <c r="B1657" t="s">
        <v>9604</v>
      </c>
    </row>
    <row r="1658" spans="1:2">
      <c r="A1658" t="s">
        <v>8288</v>
      </c>
      <c r="B1658" t="s">
        <v>8955</v>
      </c>
    </row>
    <row r="1659" spans="1:2">
      <c r="A1659" t="s">
        <v>9575</v>
      </c>
      <c r="B1659" t="s">
        <v>9576</v>
      </c>
    </row>
    <row r="1660" spans="1:2">
      <c r="A1660" t="s">
        <v>8282</v>
      </c>
      <c r="B1660" t="s">
        <v>8283</v>
      </c>
    </row>
    <row r="1661" spans="1:2">
      <c r="A1661" t="s">
        <v>8284</v>
      </c>
      <c r="B1661" t="s">
        <v>8285</v>
      </c>
    </row>
    <row r="1662" spans="1:2">
      <c r="A1662" t="s">
        <v>9589</v>
      </c>
      <c r="B1662" t="s">
        <v>9590</v>
      </c>
    </row>
    <row r="1663" spans="1:2">
      <c r="A1663" t="s">
        <v>8313</v>
      </c>
      <c r="B1663" t="s">
        <v>8314</v>
      </c>
    </row>
    <row r="1664" spans="1:2">
      <c r="A1664" t="s">
        <v>8268</v>
      </c>
      <c r="B1664" t="s">
        <v>8269</v>
      </c>
    </row>
    <row r="1665" spans="1:2">
      <c r="A1665" t="s">
        <v>9337</v>
      </c>
      <c r="B1665" t="s">
        <v>9338</v>
      </c>
    </row>
    <row r="1666" spans="1:2">
      <c r="A1666" t="s">
        <v>6493</v>
      </c>
      <c r="B1666" t="s">
        <v>6494</v>
      </c>
    </row>
    <row r="1667" spans="1:2">
      <c r="A1667" t="s">
        <v>7728</v>
      </c>
      <c r="B1667" t="s">
        <v>7729</v>
      </c>
    </row>
    <row r="1668" spans="1:2">
      <c r="A1668" t="s">
        <v>8291</v>
      </c>
      <c r="B1668" t="s">
        <v>8292</v>
      </c>
    </row>
    <row r="1669" spans="1:2">
      <c r="A1669" t="s">
        <v>8241</v>
      </c>
      <c r="B1669" t="s">
        <v>8242</v>
      </c>
    </row>
    <row r="1670" spans="1:2">
      <c r="A1670" t="s">
        <v>8069</v>
      </c>
      <c r="B1670" t="s">
        <v>8070</v>
      </c>
    </row>
    <row r="1671" spans="1:2">
      <c r="A1671" t="s">
        <v>9187</v>
      </c>
      <c r="B1671" t="s">
        <v>9188</v>
      </c>
    </row>
    <row r="1672" spans="1:2">
      <c r="A1672" t="s">
        <v>7187</v>
      </c>
      <c r="B1672" t="s">
        <v>7188</v>
      </c>
    </row>
    <row r="1673" spans="1:2">
      <c r="A1673" t="s">
        <v>8289</v>
      </c>
      <c r="B1673" t="s">
        <v>8290</v>
      </c>
    </row>
    <row r="1674" spans="1:2">
      <c r="A1674" t="s">
        <v>9355</v>
      </c>
      <c r="B1674" t="s">
        <v>9356</v>
      </c>
    </row>
    <row r="1675" spans="1:2">
      <c r="A1675" t="s">
        <v>8275</v>
      </c>
      <c r="B1675" t="s">
        <v>8276</v>
      </c>
    </row>
    <row r="1676" spans="1:2">
      <c r="A1676" t="s">
        <v>8760</v>
      </c>
      <c r="B1676" t="s">
        <v>8761</v>
      </c>
    </row>
    <row r="1677" spans="1:2">
      <c r="A1677" t="s">
        <v>9277</v>
      </c>
      <c r="B1677" t="s">
        <v>9278</v>
      </c>
    </row>
    <row r="1678" spans="1:2">
      <c r="A1678" t="s">
        <v>8237</v>
      </c>
      <c r="B1678" t="s">
        <v>8238</v>
      </c>
    </row>
    <row r="1679" spans="1:2">
      <c r="A1679" t="s">
        <v>9254</v>
      </c>
      <c r="B1679" t="s">
        <v>9255</v>
      </c>
    </row>
    <row r="1680" spans="1:2">
      <c r="A1680" t="s">
        <v>8714</v>
      </c>
      <c r="B1680" t="s">
        <v>8715</v>
      </c>
    </row>
    <row r="1681" spans="1:2">
      <c r="A1681" t="s">
        <v>8189</v>
      </c>
      <c r="B1681" t="s">
        <v>8190</v>
      </c>
    </row>
    <row r="1682" spans="1:2">
      <c r="A1682" t="s">
        <v>7578</v>
      </c>
      <c r="B1682" t="s">
        <v>7579</v>
      </c>
    </row>
    <row r="1683" spans="1:2">
      <c r="A1683" t="s">
        <v>9185</v>
      </c>
      <c r="B1683" t="s">
        <v>9186</v>
      </c>
    </row>
    <row r="1684" spans="1:2">
      <c r="A1684" t="s">
        <v>8270</v>
      </c>
      <c r="B1684" t="s">
        <v>8271</v>
      </c>
    </row>
    <row r="1685" spans="1:2">
      <c r="A1685" t="s">
        <v>8149</v>
      </c>
      <c r="B1685" t="s">
        <v>8150</v>
      </c>
    </row>
    <row r="1686" spans="1:2">
      <c r="A1686" t="s">
        <v>9339</v>
      </c>
      <c r="B1686" t="s">
        <v>9340</v>
      </c>
    </row>
    <row r="1687" spans="1:2">
      <c r="A1687" t="s">
        <v>9391</v>
      </c>
      <c r="B1687" t="s">
        <v>9392</v>
      </c>
    </row>
    <row r="1688" spans="1:2">
      <c r="A1688" t="s">
        <v>8536</v>
      </c>
      <c r="B1688" t="s">
        <v>9476</v>
      </c>
    </row>
    <row r="1689" spans="1:2">
      <c r="A1689" t="s">
        <v>8304</v>
      </c>
      <c r="B1689" t="s">
        <v>8305</v>
      </c>
    </row>
    <row r="1690" spans="1:2">
      <c r="A1690" t="s">
        <v>9418</v>
      </c>
      <c r="B1690" t="s">
        <v>9419</v>
      </c>
    </row>
    <row r="1691" spans="1:2">
      <c r="A1691" t="s">
        <v>8306</v>
      </c>
      <c r="B1691" t="s">
        <v>9325</v>
      </c>
    </row>
    <row r="1692" spans="1:2">
      <c r="A1692" t="s">
        <v>8309</v>
      </c>
      <c r="B1692" t="s">
        <v>8310</v>
      </c>
    </row>
    <row r="1693" spans="1:2">
      <c r="A1693" t="s">
        <v>8301</v>
      </c>
      <c r="B1693" t="s">
        <v>9328</v>
      </c>
    </row>
    <row r="1694" spans="1:2">
      <c r="A1694" t="s">
        <v>7531</v>
      </c>
      <c r="B1694" t="s">
        <v>7532</v>
      </c>
    </row>
    <row r="1695" spans="1:2">
      <c r="A1695" t="s">
        <v>8315</v>
      </c>
      <c r="B1695" t="s">
        <v>8316</v>
      </c>
    </row>
    <row r="1696" spans="1:2">
      <c r="A1696" t="s">
        <v>8770</v>
      </c>
      <c r="B1696" t="s">
        <v>8771</v>
      </c>
    </row>
    <row r="1697" spans="1:2">
      <c r="A1697" t="s">
        <v>9326</v>
      </c>
      <c r="B1697" t="s">
        <v>9327</v>
      </c>
    </row>
    <row r="1698" spans="1:2">
      <c r="A1698" t="s">
        <v>8455</v>
      </c>
      <c r="B1698" t="s">
        <v>8456</v>
      </c>
    </row>
    <row r="1699" spans="1:2">
      <c r="A1699" t="s">
        <v>8516</v>
      </c>
      <c r="B1699" t="s">
        <v>8517</v>
      </c>
    </row>
    <row r="1700" spans="1:2">
      <c r="A1700" t="s">
        <v>8317</v>
      </c>
      <c r="B1700" t="s">
        <v>8318</v>
      </c>
    </row>
    <row r="1701" spans="1:2">
      <c r="A1701" t="s">
        <v>8970</v>
      </c>
      <c r="B1701" t="s">
        <v>8971</v>
      </c>
    </row>
    <row r="1702" spans="1:2">
      <c r="A1702" t="s">
        <v>8106</v>
      </c>
      <c r="B1702" t="s">
        <v>8107</v>
      </c>
    </row>
    <row r="1703" spans="1:2">
      <c r="A1703" t="s">
        <v>8273</v>
      </c>
      <c r="B1703" t="s">
        <v>8274</v>
      </c>
    </row>
    <row r="1704" spans="1:2">
      <c r="A1704" t="s">
        <v>8307</v>
      </c>
      <c r="B1704" t="s">
        <v>8308</v>
      </c>
    </row>
    <row r="1705" spans="1:2">
      <c r="A1705" t="s">
        <v>8319</v>
      </c>
      <c r="B1705" t="s">
        <v>8320</v>
      </c>
    </row>
    <row r="1706" spans="1:2">
      <c r="A1706" t="s">
        <v>9051</v>
      </c>
      <c r="B1706" t="s">
        <v>9052</v>
      </c>
    </row>
    <row r="1707" spans="1:2">
      <c r="A1707" t="s">
        <v>8752</v>
      </c>
      <c r="B1707" t="s">
        <v>8753</v>
      </c>
    </row>
    <row r="1708" spans="1:2">
      <c r="A1708" t="s">
        <v>8286</v>
      </c>
      <c r="B1708" t="s">
        <v>8287</v>
      </c>
    </row>
    <row r="1709" spans="1:2">
      <c r="A1709" t="s">
        <v>8245</v>
      </c>
      <c r="B1709" t="s">
        <v>8246</v>
      </c>
    </row>
    <row r="1710" spans="1:2">
      <c r="A1710" t="s">
        <v>8264</v>
      </c>
      <c r="B1710" t="s">
        <v>8265</v>
      </c>
    </row>
    <row r="1711" spans="1:2">
      <c r="A1711" t="s">
        <v>8467</v>
      </c>
      <c r="B1711" t="s">
        <v>8468</v>
      </c>
    </row>
    <row r="1712" spans="1:2">
      <c r="A1712" t="s">
        <v>8549</v>
      </c>
      <c r="B1712" t="s">
        <v>8550</v>
      </c>
    </row>
    <row r="1713" spans="1:2">
      <c r="A1713" t="s">
        <v>8277</v>
      </c>
      <c r="B1713" t="s">
        <v>8278</v>
      </c>
    </row>
    <row r="1714" spans="1:2">
      <c r="A1714" t="s">
        <v>8478</v>
      </c>
      <c r="B1714" t="s">
        <v>8479</v>
      </c>
    </row>
    <row r="1715" spans="1:2">
      <c r="A1715" t="s">
        <v>8321</v>
      </c>
      <c r="B1715" t="s">
        <v>8322</v>
      </c>
    </row>
    <row r="1716" spans="1:2">
      <c r="A1716" t="s">
        <v>8260</v>
      </c>
      <c r="B1716" t="s">
        <v>8261</v>
      </c>
    </row>
    <row r="1717" spans="1:2">
      <c r="A1717" t="s">
        <v>5922</v>
      </c>
      <c r="B1717" t="s">
        <v>9511</v>
      </c>
    </row>
    <row r="1718" spans="1:2">
      <c r="A1718" t="s">
        <v>8373</v>
      </c>
      <c r="B1718" t="s">
        <v>8374</v>
      </c>
    </row>
    <row r="1719" spans="1:2">
      <c r="A1719" t="s">
        <v>8266</v>
      </c>
      <c r="B1719" t="s">
        <v>8267</v>
      </c>
    </row>
    <row r="1720" spans="1:2">
      <c r="A1720" t="s">
        <v>9047</v>
      </c>
      <c r="B1720" t="s">
        <v>9048</v>
      </c>
    </row>
    <row r="1721" spans="1:2">
      <c r="A1721" t="s">
        <v>8325</v>
      </c>
      <c r="B1721" t="s">
        <v>8326</v>
      </c>
    </row>
    <row r="1722" spans="1:2">
      <c r="A1722" t="s">
        <v>8332</v>
      </c>
      <c r="B1722" t="s">
        <v>8734</v>
      </c>
    </row>
    <row r="1723" spans="1:2">
      <c r="A1723" t="s">
        <v>8562</v>
      </c>
      <c r="B1723" t="s">
        <v>8563</v>
      </c>
    </row>
    <row r="1724" spans="1:2">
      <c r="A1724" t="s">
        <v>8323</v>
      </c>
      <c r="B1724" t="s">
        <v>8324</v>
      </c>
    </row>
    <row r="1725" spans="1:2">
      <c r="A1725" t="s">
        <v>8302</v>
      </c>
      <c r="B1725" t="s">
        <v>8303</v>
      </c>
    </row>
    <row r="1726" spans="1:2">
      <c r="A1726" t="s">
        <v>9002</v>
      </c>
      <c r="B1726" t="s">
        <v>9003</v>
      </c>
    </row>
    <row r="1727" spans="1:2">
      <c r="A1727" t="s">
        <v>8782</v>
      </c>
      <c r="B1727" t="s">
        <v>9564</v>
      </c>
    </row>
    <row r="1728" spans="1:2">
      <c r="A1728" t="s">
        <v>9103</v>
      </c>
      <c r="B1728" t="s">
        <v>9104</v>
      </c>
    </row>
    <row r="1729" spans="1:2">
      <c r="A1729" t="s">
        <v>8794</v>
      </c>
      <c r="B1729" t="s">
        <v>8795</v>
      </c>
    </row>
    <row r="1730" spans="1:2">
      <c r="A1730" t="s">
        <v>8018</v>
      </c>
      <c r="B1730" t="s">
        <v>9300</v>
      </c>
    </row>
    <row r="1731" spans="1:2">
      <c r="A1731" t="s">
        <v>8311</v>
      </c>
      <c r="B1731" t="s">
        <v>8312</v>
      </c>
    </row>
    <row r="1732" spans="1:2">
      <c r="A1732" t="s">
        <v>8701</v>
      </c>
      <c r="B1732" t="s">
        <v>8702</v>
      </c>
    </row>
    <row r="1733" spans="1:2">
      <c r="A1733" t="s">
        <v>8329</v>
      </c>
      <c r="B1733" t="s">
        <v>9061</v>
      </c>
    </row>
    <row r="1734" spans="1:2">
      <c r="A1734" t="s">
        <v>8081</v>
      </c>
      <c r="B1734" t="s">
        <v>8082</v>
      </c>
    </row>
    <row r="1735" spans="1:2">
      <c r="A1735" t="s">
        <v>8239</v>
      </c>
      <c r="B1735" t="s">
        <v>8240</v>
      </c>
    </row>
    <row r="1736" spans="1:2">
      <c r="A1736" t="s">
        <v>9065</v>
      </c>
      <c r="B1736" t="s">
        <v>9066</v>
      </c>
    </row>
    <row r="1737" spans="1:2">
      <c r="A1737" t="s">
        <v>9332</v>
      </c>
      <c r="B1737" t="s">
        <v>9333</v>
      </c>
    </row>
    <row r="1738" spans="1:2">
      <c r="A1738" t="s">
        <v>8963</v>
      </c>
      <c r="B1738" t="s">
        <v>8964</v>
      </c>
    </row>
    <row r="1739" spans="1:2">
      <c r="A1739" t="s">
        <v>8330</v>
      </c>
      <c r="B1739" t="s">
        <v>8331</v>
      </c>
    </row>
    <row r="1740" spans="1:2">
      <c r="A1740" t="s">
        <v>7987</v>
      </c>
      <c r="B1740" t="s">
        <v>9530</v>
      </c>
    </row>
    <row r="1741" spans="1:2">
      <c r="A1741" t="s">
        <v>8098</v>
      </c>
      <c r="B1741" t="s">
        <v>9307</v>
      </c>
    </row>
    <row r="1742" spans="1:2">
      <c r="A1742" t="s">
        <v>8007</v>
      </c>
      <c r="B1742" t="s">
        <v>8008</v>
      </c>
    </row>
    <row r="1743" spans="1:2">
      <c r="A1743" t="s">
        <v>8073</v>
      </c>
      <c r="B1743" t="s">
        <v>8074</v>
      </c>
    </row>
    <row r="1744" spans="1:2">
      <c r="A1744" t="s">
        <v>6950</v>
      </c>
      <c r="B1744" t="s">
        <v>6951</v>
      </c>
    </row>
    <row r="1745" spans="1:2">
      <c r="A1745" t="s">
        <v>8335</v>
      </c>
      <c r="B1745" t="s">
        <v>8507</v>
      </c>
    </row>
    <row r="1746" spans="1:2">
      <c r="A1746" t="s">
        <v>8665</v>
      </c>
      <c r="B1746" t="s">
        <v>8666</v>
      </c>
    </row>
    <row r="1747" spans="1:2">
      <c r="A1747" t="s">
        <v>8741</v>
      </c>
      <c r="B1747" t="s">
        <v>8742</v>
      </c>
    </row>
    <row r="1748" spans="1:2">
      <c r="A1748" t="s">
        <v>8646</v>
      </c>
      <c r="B1748" t="s">
        <v>8647</v>
      </c>
    </row>
    <row r="1749" spans="1:2">
      <c r="A1749" t="s">
        <v>8333</v>
      </c>
      <c r="B1749" t="s">
        <v>8334</v>
      </c>
    </row>
    <row r="1750" spans="1:2">
      <c r="A1750" t="s">
        <v>8967</v>
      </c>
      <c r="B1750" t="s">
        <v>8968</v>
      </c>
    </row>
    <row r="1751" spans="1:2">
      <c r="A1751" t="s">
        <v>8658</v>
      </c>
      <c r="B1751" t="s">
        <v>8659</v>
      </c>
    </row>
    <row r="1752" spans="1:2">
      <c r="A1752" t="s">
        <v>9437</v>
      </c>
      <c r="B1752" t="s">
        <v>9438</v>
      </c>
    </row>
    <row r="1753" spans="1:2">
      <c r="A1753" t="s">
        <v>8340</v>
      </c>
      <c r="B1753" t="s">
        <v>8341</v>
      </c>
    </row>
    <row r="1754" spans="1:2">
      <c r="A1754" t="s">
        <v>8972</v>
      </c>
      <c r="B1754" t="s">
        <v>8973</v>
      </c>
    </row>
    <row r="1755" spans="1:2">
      <c r="A1755" t="s">
        <v>8342</v>
      </c>
      <c r="B1755" t="s">
        <v>9639</v>
      </c>
    </row>
    <row r="1756" spans="1:2">
      <c r="A1756" t="s">
        <v>8767</v>
      </c>
      <c r="B1756" t="s">
        <v>8768</v>
      </c>
    </row>
    <row r="1757" spans="1:2">
      <c r="A1757" t="s">
        <v>8802</v>
      </c>
      <c r="B1757" t="s">
        <v>9505</v>
      </c>
    </row>
    <row r="1758" spans="1:2">
      <c r="A1758" t="s">
        <v>8336</v>
      </c>
      <c r="B1758" t="s">
        <v>8337</v>
      </c>
    </row>
    <row r="1759" spans="1:2">
      <c r="A1759" t="s">
        <v>9652</v>
      </c>
      <c r="B1759" t="s">
        <v>9653</v>
      </c>
    </row>
    <row r="1760" spans="1:2">
      <c r="A1760" t="s">
        <v>8338</v>
      </c>
      <c r="B1760" t="s">
        <v>8339</v>
      </c>
    </row>
    <row r="1761" spans="1:2">
      <c r="A1761" t="s">
        <v>8533</v>
      </c>
      <c r="B1761" t="s">
        <v>8534</v>
      </c>
    </row>
    <row r="1762" spans="1:2">
      <c r="A1762" t="s">
        <v>8480</v>
      </c>
      <c r="B1762" t="s">
        <v>8481</v>
      </c>
    </row>
    <row r="1763" spans="1:2">
      <c r="A1763" t="s">
        <v>8343</v>
      </c>
      <c r="B1763" t="s">
        <v>8344</v>
      </c>
    </row>
    <row r="1764" spans="1:2">
      <c r="A1764" t="s">
        <v>8745</v>
      </c>
      <c r="B1764" t="s">
        <v>8746</v>
      </c>
    </row>
    <row r="1765" spans="1:2">
      <c r="A1765" t="s">
        <v>8494</v>
      </c>
      <c r="B1765" t="s">
        <v>8495</v>
      </c>
    </row>
    <row r="1766" spans="1:2">
      <c r="A1766" t="s">
        <v>9165</v>
      </c>
      <c r="B1766" t="s">
        <v>9166</v>
      </c>
    </row>
    <row r="1767" spans="1:2">
      <c r="A1767" t="s">
        <v>8345</v>
      </c>
      <c r="B1767" t="s">
        <v>8762</v>
      </c>
    </row>
    <row r="1768" spans="1:2">
      <c r="A1768" t="s">
        <v>9543</v>
      </c>
      <c r="B1768" t="s">
        <v>9544</v>
      </c>
    </row>
    <row r="1769" spans="1:2">
      <c r="A1769" t="s">
        <v>8765</v>
      </c>
      <c r="B1769" t="s">
        <v>8766</v>
      </c>
    </row>
    <row r="1770" spans="1:2">
      <c r="A1770" t="s">
        <v>8346</v>
      </c>
      <c r="B1770" t="s">
        <v>8678</v>
      </c>
    </row>
    <row r="1771" spans="1:2">
      <c r="A1771" t="s">
        <v>8688</v>
      </c>
      <c r="B1771" t="s">
        <v>8689</v>
      </c>
    </row>
    <row r="1772" spans="1:2">
      <c r="A1772" t="s">
        <v>8498</v>
      </c>
      <c r="B1772" t="s">
        <v>8499</v>
      </c>
    </row>
    <row r="1773" spans="1:2">
      <c r="A1773" t="s">
        <v>8726</v>
      </c>
      <c r="B1773" t="s">
        <v>8727</v>
      </c>
    </row>
    <row r="1774" spans="1:2">
      <c r="A1774" t="s">
        <v>8347</v>
      </c>
      <c r="B1774" t="s">
        <v>8348</v>
      </c>
    </row>
    <row r="1775" spans="1:2">
      <c r="A1775" t="s">
        <v>7756</v>
      </c>
      <c r="B1775" t="s">
        <v>8620</v>
      </c>
    </row>
    <row r="1776" spans="1:2">
      <c r="A1776" t="s">
        <v>8452</v>
      </c>
      <c r="B1776" t="s">
        <v>8608</v>
      </c>
    </row>
    <row r="1777" spans="1:2">
      <c r="A1777" t="s">
        <v>8469</v>
      </c>
      <c r="B1777" t="s">
        <v>8470</v>
      </c>
    </row>
    <row r="1778" spans="1:2">
      <c r="A1778" t="s">
        <v>8492</v>
      </c>
      <c r="B1778" t="s">
        <v>8493</v>
      </c>
    </row>
    <row r="1779" spans="1:2">
      <c r="A1779" t="s">
        <v>8351</v>
      </c>
      <c r="B1779" t="s">
        <v>8352</v>
      </c>
    </row>
    <row r="1780" spans="1:2">
      <c r="A1780" t="s">
        <v>8349</v>
      </c>
      <c r="B1780" t="s">
        <v>8350</v>
      </c>
    </row>
    <row r="1781" spans="1:2">
      <c r="A1781" t="s">
        <v>9520</v>
      </c>
      <c r="B1781" t="s">
        <v>9521</v>
      </c>
    </row>
    <row r="1782" spans="1:2">
      <c r="A1782" t="s">
        <v>8327</v>
      </c>
      <c r="B1782" t="s">
        <v>8328</v>
      </c>
    </row>
    <row r="1783" spans="1:2">
      <c r="A1783" t="s">
        <v>9078</v>
      </c>
      <c r="B1783" t="s">
        <v>9079</v>
      </c>
    </row>
    <row r="1784" spans="1:2">
      <c r="A1784" t="s">
        <v>8783</v>
      </c>
      <c r="B1784" t="s">
        <v>8784</v>
      </c>
    </row>
    <row r="1785" spans="1:2">
      <c r="A1785" t="s">
        <v>8293</v>
      </c>
      <c r="B1785" t="s">
        <v>8294</v>
      </c>
    </row>
    <row r="1786" spans="1:2">
      <c r="A1786" t="s">
        <v>7895</v>
      </c>
      <c r="B1786" t="s">
        <v>7896</v>
      </c>
    </row>
    <row r="1787" spans="1:2">
      <c r="A1787" t="s">
        <v>8462</v>
      </c>
      <c r="B1787" t="s">
        <v>8463</v>
      </c>
    </row>
    <row r="1788" spans="1:2">
      <c r="A1788" t="s">
        <v>8564</v>
      </c>
      <c r="B1788" t="s">
        <v>8565</v>
      </c>
    </row>
    <row r="1789" spans="1:2">
      <c r="A1789" t="s">
        <v>5362</v>
      </c>
      <c r="B1789" t="s">
        <v>5363</v>
      </c>
    </row>
    <row r="1790" spans="1:2">
      <c r="A1790" t="s">
        <v>8198</v>
      </c>
      <c r="B1790" t="s">
        <v>8199</v>
      </c>
    </row>
    <row r="1791" spans="1:2">
      <c r="A1791" t="s">
        <v>8003</v>
      </c>
      <c r="B1791" t="s">
        <v>8004</v>
      </c>
    </row>
    <row r="1792" spans="1:2">
      <c r="A1792" t="s">
        <v>8295</v>
      </c>
      <c r="B1792" t="s">
        <v>8296</v>
      </c>
    </row>
    <row r="1793" spans="1:2">
      <c r="A1793" t="s">
        <v>8648</v>
      </c>
      <c r="B1793" t="s">
        <v>8649</v>
      </c>
    </row>
    <row r="1794" spans="1:2">
      <c r="A1794" t="s">
        <v>8528</v>
      </c>
      <c r="B1794" t="s">
        <v>9011</v>
      </c>
    </row>
    <row r="1795" spans="1:2">
      <c r="A1795" t="s">
        <v>8355</v>
      </c>
      <c r="B1795" t="s">
        <v>8356</v>
      </c>
    </row>
    <row r="1796" spans="1:2">
      <c r="A1796" t="s">
        <v>8353</v>
      </c>
      <c r="B1796" t="s">
        <v>9409</v>
      </c>
    </row>
    <row r="1797" spans="1:2">
      <c r="A1797" t="s">
        <v>8354</v>
      </c>
      <c r="B1797" t="s">
        <v>9088</v>
      </c>
    </row>
    <row r="1798" spans="1:2">
      <c r="A1798" t="s">
        <v>8358</v>
      </c>
      <c r="B1798" t="s">
        <v>8359</v>
      </c>
    </row>
    <row r="1799" spans="1:2">
      <c r="A1799" t="s">
        <v>8360</v>
      </c>
      <c r="B1799" t="s">
        <v>8361</v>
      </c>
    </row>
    <row r="1800" spans="1:2">
      <c r="A1800" t="s">
        <v>9370</v>
      </c>
      <c r="B1800" t="s">
        <v>9371</v>
      </c>
    </row>
    <row r="1801" spans="1:2">
      <c r="A1801" t="s">
        <v>9531</v>
      </c>
      <c r="B1801" t="s">
        <v>9532</v>
      </c>
    </row>
    <row r="1802" spans="1:2">
      <c r="A1802" t="s">
        <v>8684</v>
      </c>
      <c r="B1802" t="s">
        <v>8685</v>
      </c>
    </row>
    <row r="1803" spans="1:2">
      <c r="A1803" t="s">
        <v>9401</v>
      </c>
      <c r="B1803" t="s">
        <v>9402</v>
      </c>
    </row>
    <row r="1804" spans="1:2">
      <c r="A1804" t="s">
        <v>8750</v>
      </c>
      <c r="B1804" t="s">
        <v>8751</v>
      </c>
    </row>
    <row r="1805" spans="1:2">
      <c r="A1805" t="s">
        <v>9444</v>
      </c>
      <c r="B1805" t="s">
        <v>9445</v>
      </c>
    </row>
    <row r="1806" spans="1:2">
      <c r="A1806" t="s">
        <v>8096</v>
      </c>
      <c r="B1806" t="s">
        <v>8097</v>
      </c>
    </row>
    <row r="1807" spans="1:2">
      <c r="A1807" t="s">
        <v>8627</v>
      </c>
      <c r="B1807" t="s">
        <v>8628</v>
      </c>
    </row>
    <row r="1808" spans="1:2">
      <c r="A1808" t="s">
        <v>9232</v>
      </c>
      <c r="B1808" t="s">
        <v>9233</v>
      </c>
    </row>
    <row r="1809" spans="1:2">
      <c r="A1809" t="s">
        <v>8705</v>
      </c>
      <c r="B1809" t="s">
        <v>8706</v>
      </c>
    </row>
    <row r="1810" spans="1:2">
      <c r="A1810" t="s">
        <v>9080</v>
      </c>
      <c r="B1810" t="s">
        <v>9081</v>
      </c>
    </row>
    <row r="1811" spans="1:2">
      <c r="A1811" t="s">
        <v>9495</v>
      </c>
      <c r="B1811" t="s">
        <v>9496</v>
      </c>
    </row>
    <row r="1812" spans="1:2">
      <c r="A1812" t="s">
        <v>9049</v>
      </c>
      <c r="B1812" t="s">
        <v>9050</v>
      </c>
    </row>
    <row r="1813" spans="1:2">
      <c r="A1813" t="s">
        <v>8459</v>
      </c>
      <c r="B1813" t="s">
        <v>8460</v>
      </c>
    </row>
    <row r="1814" spans="1:2">
      <c r="A1814" t="s">
        <v>8531</v>
      </c>
      <c r="B1814" t="s">
        <v>8532</v>
      </c>
    </row>
    <row r="1815" spans="1:2">
      <c r="A1815" t="s">
        <v>8357</v>
      </c>
      <c r="B1815" t="s">
        <v>9129</v>
      </c>
    </row>
    <row r="1816" spans="1:2">
      <c r="A1816" t="s">
        <v>8944</v>
      </c>
      <c r="B1816" t="s">
        <v>8945</v>
      </c>
    </row>
    <row r="1817" spans="1:2">
      <c r="A1817" t="s">
        <v>8013</v>
      </c>
      <c r="B1817" t="s">
        <v>8014</v>
      </c>
    </row>
    <row r="1818" spans="1:2">
      <c r="A1818" t="s">
        <v>9101</v>
      </c>
      <c r="B1818" t="s">
        <v>9102</v>
      </c>
    </row>
    <row r="1819" spans="1:2">
      <c r="A1819" t="s">
        <v>8791</v>
      </c>
      <c r="B1819" t="s">
        <v>8941</v>
      </c>
    </row>
    <row r="1820" spans="1:2">
      <c r="A1820" t="s">
        <v>9461</v>
      </c>
      <c r="B1820" t="s">
        <v>9462</v>
      </c>
    </row>
    <row r="1821" spans="1:2">
      <c r="A1821" t="s">
        <v>8785</v>
      </c>
      <c r="B1821" t="s">
        <v>8786</v>
      </c>
    </row>
    <row r="1822" spans="1:2">
      <c r="A1822" t="s">
        <v>8798</v>
      </c>
      <c r="B1822" t="s">
        <v>8799</v>
      </c>
    </row>
    <row r="1823" spans="1:2">
      <c r="A1823" t="s">
        <v>8362</v>
      </c>
      <c r="B1823" t="s">
        <v>9497</v>
      </c>
    </row>
    <row r="1824" spans="1:2">
      <c r="A1824" t="s">
        <v>8792</v>
      </c>
      <c r="B1824" t="s">
        <v>8793</v>
      </c>
    </row>
    <row r="1825" spans="1:2">
      <c r="A1825" t="s">
        <v>8587</v>
      </c>
      <c r="B1825" t="s">
        <v>9429</v>
      </c>
    </row>
    <row r="1826" spans="1:2">
      <c r="A1826" t="s">
        <v>8580</v>
      </c>
      <c r="B1826" t="s">
        <v>8581</v>
      </c>
    </row>
    <row r="1827" spans="1:2">
      <c r="A1827" t="s">
        <v>8566</v>
      </c>
      <c r="B1827" t="s">
        <v>8567</v>
      </c>
    </row>
    <row r="1828" spans="1:2">
      <c r="A1828" t="s">
        <v>8471</v>
      </c>
      <c r="B1828" t="s">
        <v>9504</v>
      </c>
    </row>
    <row r="1829" spans="1:2">
      <c r="A1829" t="s">
        <v>8582</v>
      </c>
      <c r="B1829" t="s">
        <v>8691</v>
      </c>
    </row>
    <row r="1830" spans="1:2">
      <c r="A1830" t="s">
        <v>8577</v>
      </c>
      <c r="B1830" t="s">
        <v>8578</v>
      </c>
    </row>
    <row r="1831" spans="1:2">
      <c r="A1831" t="s">
        <v>8363</v>
      </c>
      <c r="B1831" t="s">
        <v>8690</v>
      </c>
    </row>
    <row r="1832" spans="1:2">
      <c r="A1832" t="s">
        <v>8364</v>
      </c>
      <c r="B1832" t="s">
        <v>8365</v>
      </c>
    </row>
    <row r="1833" spans="1:2">
      <c r="A1833" t="s">
        <v>8633</v>
      </c>
      <c r="B1833" t="s">
        <v>9608</v>
      </c>
    </row>
    <row r="1834" spans="1:2">
      <c r="A1834" t="s">
        <v>8583</v>
      </c>
      <c r="B1834" t="s">
        <v>8584</v>
      </c>
    </row>
    <row r="1835" spans="1:2">
      <c r="A1835" t="s">
        <v>8553</v>
      </c>
      <c r="B1835" t="s">
        <v>8554</v>
      </c>
    </row>
    <row r="1836" spans="1:2">
      <c r="A1836" t="s">
        <v>8568</v>
      </c>
      <c r="B1836" t="s">
        <v>8569</v>
      </c>
    </row>
    <row r="1837" spans="1:2">
      <c r="A1837" t="s">
        <v>8366</v>
      </c>
      <c r="B1837" t="s">
        <v>8367</v>
      </c>
    </row>
    <row r="1838" spans="1:2">
      <c r="A1838" t="s">
        <v>9169</v>
      </c>
      <c r="B1838" t="s">
        <v>9170</v>
      </c>
    </row>
    <row r="1839" spans="1:2">
      <c r="A1839" t="s">
        <v>8692</v>
      </c>
      <c r="B1839" t="s">
        <v>8693</v>
      </c>
    </row>
    <row r="1840" spans="1:2">
      <c r="A1840" t="s">
        <v>9488</v>
      </c>
      <c r="B1840" t="s">
        <v>9489</v>
      </c>
    </row>
    <row r="1841" spans="1:2">
      <c r="A1841" t="s">
        <v>8501</v>
      </c>
      <c r="B1841" t="s">
        <v>8502</v>
      </c>
    </row>
    <row r="1842" spans="1:2">
      <c r="A1842" t="s">
        <v>8996</v>
      </c>
      <c r="B1842" t="s">
        <v>8997</v>
      </c>
    </row>
    <row r="1843" spans="1:2">
      <c r="A1843" t="s">
        <v>9551</v>
      </c>
      <c r="B1843" t="s">
        <v>9552</v>
      </c>
    </row>
    <row r="1844" spans="1:2">
      <c r="A1844" t="s">
        <v>8560</v>
      </c>
      <c r="B1844" t="s">
        <v>9426</v>
      </c>
    </row>
    <row r="1845" spans="1:2">
      <c r="A1845" t="s">
        <v>9228</v>
      </c>
      <c r="B1845" t="s">
        <v>9229</v>
      </c>
    </row>
    <row r="1846" spans="1:2">
      <c r="A1846" t="s">
        <v>9144</v>
      </c>
      <c r="B1846" t="s">
        <v>9145</v>
      </c>
    </row>
    <row r="1847" spans="1:2">
      <c r="A1847" t="s">
        <v>8696</v>
      </c>
      <c r="B1847" t="s">
        <v>8697</v>
      </c>
    </row>
    <row r="1848" spans="1:2">
      <c r="A1848" t="s">
        <v>9412</v>
      </c>
      <c r="B1848" t="s">
        <v>9413</v>
      </c>
    </row>
    <row r="1849" spans="1:2">
      <c r="A1849" t="s">
        <v>9353</v>
      </c>
      <c r="B1849" t="s">
        <v>9354</v>
      </c>
    </row>
    <row r="1850" spans="1:2">
      <c r="A1850" t="s">
        <v>9611</v>
      </c>
      <c r="B1850" t="s">
        <v>9612</v>
      </c>
    </row>
    <row r="1851" spans="1:2">
      <c r="A1851" t="s">
        <v>9359</v>
      </c>
      <c r="B1851" t="s">
        <v>9360</v>
      </c>
    </row>
    <row r="1852" spans="1:2">
      <c r="A1852" t="s">
        <v>9063</v>
      </c>
      <c r="B1852" t="s">
        <v>9064</v>
      </c>
    </row>
    <row r="1853" spans="1:2">
      <c r="A1853" t="s">
        <v>9246</v>
      </c>
      <c r="B1853" t="s">
        <v>9247</v>
      </c>
    </row>
    <row r="1854" spans="1:2">
      <c r="A1854" t="s">
        <v>8589</v>
      </c>
      <c r="B1854" t="s">
        <v>9637</v>
      </c>
    </row>
    <row r="1855" spans="1:2">
      <c r="A1855" t="s">
        <v>9330</v>
      </c>
      <c r="B1855" t="s">
        <v>9331</v>
      </c>
    </row>
    <row r="1856" spans="1:2">
      <c r="A1856" t="s">
        <v>8640</v>
      </c>
      <c r="B1856" t="s">
        <v>8641</v>
      </c>
    </row>
    <row r="1857" spans="1:2">
      <c r="A1857" t="s">
        <v>9084</v>
      </c>
      <c r="B1857" t="s">
        <v>9085</v>
      </c>
    </row>
    <row r="1858" spans="1:2">
      <c r="A1858" t="s">
        <v>9449</v>
      </c>
      <c r="B1858" t="s">
        <v>9450</v>
      </c>
    </row>
    <row r="1859" spans="1:2">
      <c r="A1859" t="s">
        <v>8650</v>
      </c>
      <c r="B1859" t="s">
        <v>8651</v>
      </c>
    </row>
    <row r="1860" spans="1:2">
      <c r="A1860" t="s">
        <v>8615</v>
      </c>
      <c r="B1860" t="s">
        <v>8616</v>
      </c>
    </row>
    <row r="1861" spans="1:2">
      <c r="A1861" t="s">
        <v>8579</v>
      </c>
      <c r="B1861" t="s">
        <v>9313</v>
      </c>
    </row>
    <row r="1862" spans="1:2">
      <c r="A1862" t="s">
        <v>8720</v>
      </c>
      <c r="B1862" t="s">
        <v>8721</v>
      </c>
    </row>
    <row r="1863" spans="1:2">
      <c r="A1863" t="s">
        <v>8679</v>
      </c>
      <c r="B1863" t="s">
        <v>8680</v>
      </c>
    </row>
    <row r="1864" spans="1:2">
      <c r="A1864" t="s">
        <v>9363</v>
      </c>
      <c r="B1864" t="s">
        <v>9364</v>
      </c>
    </row>
    <row r="1865" spans="1:2">
      <c r="A1865" t="s">
        <v>8611</v>
      </c>
      <c r="B1865" t="s">
        <v>8612</v>
      </c>
    </row>
    <row r="1866" spans="1:2">
      <c r="A1866" t="s">
        <v>9193</v>
      </c>
      <c r="B1866" t="s">
        <v>9194</v>
      </c>
    </row>
    <row r="1867" spans="1:2">
      <c r="A1867" t="s">
        <v>9288</v>
      </c>
      <c r="B1867" t="s">
        <v>9289</v>
      </c>
    </row>
    <row r="1868" spans="1:2">
      <c r="A1868" t="s">
        <v>9197</v>
      </c>
      <c r="B1868" t="s">
        <v>9198</v>
      </c>
    </row>
    <row r="1869" spans="1:2">
      <c r="A1869" t="s">
        <v>9008</v>
      </c>
      <c r="B1869" t="s">
        <v>9009</v>
      </c>
    </row>
    <row r="1870" spans="1:2">
      <c r="A1870" t="s">
        <v>8758</v>
      </c>
      <c r="B1870" t="s">
        <v>8759</v>
      </c>
    </row>
    <row r="1871" spans="1:2">
      <c r="A1871" t="s">
        <v>9111</v>
      </c>
      <c r="B1871" t="s">
        <v>9112</v>
      </c>
    </row>
    <row r="1872" spans="1:2">
      <c r="A1872" t="s">
        <v>8511</v>
      </c>
      <c r="B1872" t="s">
        <v>7969</v>
      </c>
    </row>
    <row r="1873" spans="1:2">
      <c r="A1873" t="s">
        <v>8710</v>
      </c>
      <c r="B1873" t="s">
        <v>8711</v>
      </c>
    </row>
    <row r="1874" spans="1:2">
      <c r="A1874" t="s">
        <v>8789</v>
      </c>
      <c r="B1874" t="s">
        <v>8790</v>
      </c>
    </row>
    <row r="1875" spans="1:2">
      <c r="A1875" t="s">
        <v>9565</v>
      </c>
      <c r="B1875" t="s">
        <v>9566</v>
      </c>
    </row>
    <row r="1876" spans="1:2">
      <c r="A1876" t="s">
        <v>8774</v>
      </c>
      <c r="B1876" t="s">
        <v>8775</v>
      </c>
    </row>
    <row r="1877" spans="1:2">
      <c r="A1877" t="s">
        <v>8703</v>
      </c>
      <c r="B1877" t="s">
        <v>8704</v>
      </c>
    </row>
    <row r="1878" spans="1:2">
      <c r="A1878" t="s">
        <v>8652</v>
      </c>
      <c r="B1878" t="s">
        <v>8653</v>
      </c>
    </row>
    <row r="1879" spans="1:2">
      <c r="A1879" t="s">
        <v>9160</v>
      </c>
      <c r="B1879" t="s">
        <v>9161</v>
      </c>
    </row>
    <row r="1880" spans="1:2">
      <c r="A1880" t="s">
        <v>9654</v>
      </c>
      <c r="B1880" t="s">
        <v>9655</v>
      </c>
    </row>
    <row r="1881" spans="1:2">
      <c r="A1881" t="s">
        <v>8664</v>
      </c>
      <c r="B1881" t="s">
        <v>9448</v>
      </c>
    </row>
    <row r="1882" spans="1:2">
      <c r="A1882" t="s">
        <v>8717</v>
      </c>
      <c r="B1882" t="s">
        <v>8718</v>
      </c>
    </row>
    <row r="1883" spans="1:2">
      <c r="A1883" t="s">
        <v>8739</v>
      </c>
      <c r="B1883" t="s">
        <v>6772</v>
      </c>
    </row>
    <row r="1884" spans="1:2">
      <c r="A1884" t="s">
        <v>8642</v>
      </c>
      <c r="B1884" t="s">
        <v>8643</v>
      </c>
    </row>
    <row r="1885" spans="1:2">
      <c r="A1885" t="s">
        <v>8807</v>
      </c>
      <c r="B1885" t="s">
        <v>8808</v>
      </c>
    </row>
    <row r="1886" spans="1:2">
      <c r="A1886" t="s">
        <v>8743</v>
      </c>
      <c r="B1886" t="s">
        <v>8744</v>
      </c>
    </row>
    <row r="1887" spans="1:2">
      <c r="A1887" t="s">
        <v>8772</v>
      </c>
      <c r="B1887" t="s">
        <v>8773</v>
      </c>
    </row>
    <row r="1888" spans="1:2">
      <c r="A1888" t="s">
        <v>9115</v>
      </c>
      <c r="B1888" t="s">
        <v>9116</v>
      </c>
    </row>
    <row r="1889" spans="1:2">
      <c r="A1889" t="s">
        <v>8730</v>
      </c>
      <c r="B1889" t="s">
        <v>8731</v>
      </c>
    </row>
    <row r="1890" spans="1:2">
      <c r="A1890" t="s">
        <v>8787</v>
      </c>
      <c r="B1890" t="s">
        <v>8788</v>
      </c>
    </row>
    <row r="1891" spans="1:2">
      <c r="A1891" t="s">
        <v>9301</v>
      </c>
      <c r="B1891" t="s">
        <v>9302</v>
      </c>
    </row>
    <row r="1892" spans="1:2">
      <c r="A1892" t="s">
        <v>8979</v>
      </c>
      <c r="B1892" t="s">
        <v>8980</v>
      </c>
    </row>
    <row r="1893" spans="1:2">
      <c r="A1893" t="s">
        <v>8809</v>
      </c>
      <c r="B1893" t="s">
        <v>6827</v>
      </c>
    </row>
    <row r="1894" spans="1:2">
      <c r="A1894" t="s">
        <v>9230</v>
      </c>
      <c r="B1894" t="s">
        <v>9231</v>
      </c>
    </row>
    <row r="1895" spans="1:2">
      <c r="A1895" t="s">
        <v>9357</v>
      </c>
      <c r="B1895" t="s">
        <v>9358</v>
      </c>
    </row>
    <row r="1896" spans="1:2">
      <c r="A1896" t="s">
        <v>8923</v>
      </c>
      <c r="B1896" t="s">
        <v>8924</v>
      </c>
    </row>
    <row r="1897" spans="1:2">
      <c r="A1897" t="s">
        <v>9537</v>
      </c>
      <c r="B1897" t="s">
        <v>9538</v>
      </c>
    </row>
    <row r="1898" spans="1:2">
      <c r="A1898" t="s">
        <v>8694</v>
      </c>
      <c r="B1898" t="s">
        <v>8695</v>
      </c>
    </row>
    <row r="1899" spans="1:2">
      <c r="A1899" t="s">
        <v>9403</v>
      </c>
      <c r="B1899" t="s">
        <v>9404</v>
      </c>
    </row>
    <row r="1900" spans="1:2">
      <c r="A1900" t="s">
        <v>9318</v>
      </c>
      <c r="B1900" t="s">
        <v>9319</v>
      </c>
    </row>
    <row r="1901" spans="1:2">
      <c r="A1901" t="s">
        <v>8673</v>
      </c>
      <c r="B1901" t="s">
        <v>5889</v>
      </c>
    </row>
    <row r="1902" spans="1:2">
      <c r="A1902" t="s">
        <v>8754</v>
      </c>
      <c r="B1902" t="s">
        <v>6170</v>
      </c>
    </row>
    <row r="1903" spans="1:2">
      <c r="A1903" t="s">
        <v>9142</v>
      </c>
      <c r="B1903" t="s">
        <v>9143</v>
      </c>
    </row>
    <row r="1904" spans="1:2">
      <c r="A1904" t="s">
        <v>8662</v>
      </c>
      <c r="B1904" t="s">
        <v>8663</v>
      </c>
    </row>
    <row r="1905" spans="1:2">
      <c r="A1905" t="s">
        <v>9347</v>
      </c>
      <c r="B1905" t="s">
        <v>9348</v>
      </c>
    </row>
    <row r="1906" spans="1:2">
      <c r="A1906" t="s">
        <v>8998</v>
      </c>
      <c r="B1906" t="s">
        <v>8999</v>
      </c>
    </row>
    <row r="1907" spans="1:2">
      <c r="A1907" t="s">
        <v>9365</v>
      </c>
      <c r="B1907" t="s">
        <v>9366</v>
      </c>
    </row>
    <row r="1908" spans="1:2">
      <c r="A1908" t="s">
        <v>9148</v>
      </c>
      <c r="B1908" t="s">
        <v>9149</v>
      </c>
    </row>
    <row r="1909" spans="1:2">
      <c r="A1909" t="s">
        <v>9555</v>
      </c>
      <c r="B1909" t="s">
        <v>9556</v>
      </c>
    </row>
    <row r="1910" spans="1:2">
      <c r="A1910" t="s">
        <v>9199</v>
      </c>
      <c r="B1910" t="s">
        <v>9200</v>
      </c>
    </row>
    <row r="1911" spans="1:2">
      <c r="A1911" t="s">
        <v>9220</v>
      </c>
      <c r="B1911" t="s">
        <v>9221</v>
      </c>
    </row>
    <row r="1912" spans="1:2">
      <c r="A1912" t="s">
        <v>8986</v>
      </c>
      <c r="B1912" t="s">
        <v>8987</v>
      </c>
    </row>
    <row r="1913" spans="1:2">
      <c r="A1913" t="s">
        <v>9212</v>
      </c>
      <c r="B1913" t="s">
        <v>9213</v>
      </c>
    </row>
    <row r="1914" spans="1:2">
      <c r="A1914" t="s">
        <v>9427</v>
      </c>
      <c r="B1914" t="s">
        <v>9428</v>
      </c>
    </row>
    <row r="1915" spans="1:2">
      <c r="A1915" t="s">
        <v>8946</v>
      </c>
      <c r="B1915" t="s">
        <v>8947</v>
      </c>
    </row>
    <row r="1916" spans="1:2">
      <c r="A1916" t="s">
        <v>9279</v>
      </c>
      <c r="B1916" t="s">
        <v>9280</v>
      </c>
    </row>
    <row r="1917" spans="1:2">
      <c r="A1917" t="s">
        <v>9606</v>
      </c>
      <c r="B1917" t="s">
        <v>9607</v>
      </c>
    </row>
    <row r="1918" spans="1:2">
      <c r="A1918" t="s">
        <v>9559</v>
      </c>
      <c r="B1918" t="s">
        <v>9560</v>
      </c>
    </row>
    <row r="1919" spans="1:2">
      <c r="A1919" t="s">
        <v>9597</v>
      </c>
      <c r="B1919" t="s">
        <v>9598</v>
      </c>
    </row>
    <row r="1920" spans="1:2">
      <c r="A1920" t="s">
        <v>9490</v>
      </c>
      <c r="B1920" t="s">
        <v>9491</v>
      </c>
    </row>
    <row r="1921" spans="1:2">
      <c r="A1921" t="s">
        <v>9120</v>
      </c>
      <c r="B1921" t="s">
        <v>9121</v>
      </c>
    </row>
    <row r="1922" spans="1:2">
      <c r="A1922" t="s">
        <v>9407</v>
      </c>
      <c r="B1922" t="s">
        <v>9408</v>
      </c>
    </row>
    <row r="1923" spans="1:2">
      <c r="A1923" t="s">
        <v>9210</v>
      </c>
      <c r="B1923" t="s">
        <v>9211</v>
      </c>
    </row>
    <row r="1924" spans="1:2">
      <c r="A1924" t="s">
        <v>9195</v>
      </c>
      <c r="B1924" t="s">
        <v>9196</v>
      </c>
    </row>
    <row r="1925" spans="1:2">
      <c r="A1925" t="s">
        <v>9341</v>
      </c>
      <c r="B1925" t="s">
        <v>9342</v>
      </c>
    </row>
    <row r="1926" spans="1:2">
      <c r="A1926" t="s">
        <v>9264</v>
      </c>
      <c r="B1926" t="s">
        <v>9265</v>
      </c>
    </row>
    <row r="1927" spans="1:2">
      <c r="A1927" t="s">
        <v>9239</v>
      </c>
      <c r="B1927" t="s">
        <v>9240</v>
      </c>
    </row>
    <row r="1928" spans="1:2">
      <c r="A1928" t="s">
        <v>9585</v>
      </c>
      <c r="B1928" t="s">
        <v>9586</v>
      </c>
    </row>
    <row r="1929" spans="1:2">
      <c r="A1929" t="s">
        <v>9067</v>
      </c>
      <c r="B1929" t="s">
        <v>9068</v>
      </c>
    </row>
    <row r="1930" spans="1:2">
      <c r="A1930" t="s">
        <v>9393</v>
      </c>
      <c r="B1930" t="s">
        <v>9394</v>
      </c>
    </row>
    <row r="1931" spans="1:2">
      <c r="A1931" t="s">
        <v>9179</v>
      </c>
      <c r="B1931" t="s">
        <v>9180</v>
      </c>
    </row>
    <row r="1932" spans="1:2">
      <c r="A1932" t="s">
        <v>9029</v>
      </c>
      <c r="B1932" t="s">
        <v>9030</v>
      </c>
    </row>
    <row r="1933" spans="1:2">
      <c r="A1933" t="s">
        <v>9056</v>
      </c>
      <c r="B1933" t="s">
        <v>9057</v>
      </c>
    </row>
    <row r="1934" spans="1:2">
      <c r="A1934" t="s">
        <v>9478</v>
      </c>
      <c r="B1934" t="s">
        <v>9479</v>
      </c>
    </row>
    <row r="1935" spans="1:2">
      <c r="A1935" t="s">
        <v>9058</v>
      </c>
      <c r="B1935" t="s">
        <v>9059</v>
      </c>
    </row>
    <row r="1936" spans="1:2">
      <c r="A1936" t="s">
        <v>9553</v>
      </c>
      <c r="B1936" t="s">
        <v>9554</v>
      </c>
    </row>
    <row r="1937" spans="1:2">
      <c r="A1937" t="s">
        <v>9389</v>
      </c>
      <c r="B1937" t="s">
        <v>9390</v>
      </c>
    </row>
    <row r="1938" spans="1:2">
      <c r="A1938" t="s">
        <v>9031</v>
      </c>
      <c r="B1938" t="s">
        <v>9032</v>
      </c>
    </row>
    <row r="1939" spans="1:2">
      <c r="A1939" t="s">
        <v>9176</v>
      </c>
      <c r="B1939" t="s">
        <v>9177</v>
      </c>
    </row>
    <row r="1940" spans="1:2">
      <c r="A1940" t="s">
        <v>9454</v>
      </c>
      <c r="B1940" t="s">
        <v>9455</v>
      </c>
    </row>
    <row r="1941" spans="1:2">
      <c r="A1941" t="s">
        <v>9151</v>
      </c>
      <c r="B1941" t="s">
        <v>9152</v>
      </c>
    </row>
    <row r="1942" spans="1:2">
      <c r="A1942" t="s">
        <v>9387</v>
      </c>
      <c r="B1942" t="s">
        <v>9388</v>
      </c>
    </row>
    <row r="1943" spans="1:2">
      <c r="A1943" t="s">
        <v>9235</v>
      </c>
      <c r="B1943" t="s">
        <v>9236</v>
      </c>
    </row>
    <row r="1944" spans="1:2">
      <c r="A1944" t="s">
        <v>9410</v>
      </c>
      <c r="B1944" t="s">
        <v>9411</v>
      </c>
    </row>
    <row r="1945" spans="1:2">
      <c r="A1945" t="s">
        <v>9516</v>
      </c>
      <c r="B1945" t="s">
        <v>6289</v>
      </c>
    </row>
    <row r="1946" spans="1:2">
      <c r="A1946" t="s">
        <v>8917</v>
      </c>
      <c r="B1946" t="s">
        <v>7105</v>
      </c>
    </row>
    <row r="1947" spans="1:2">
      <c r="A1947" t="s">
        <v>9344</v>
      </c>
      <c r="B1947" t="s">
        <v>9345</v>
      </c>
    </row>
    <row r="1948" spans="1:2">
      <c r="A1948" t="s">
        <v>9635</v>
      </c>
      <c r="B1948" t="s">
        <v>9636</v>
      </c>
    </row>
    <row r="1949" spans="1:2">
      <c r="A1949" t="s">
        <v>9633</v>
      </c>
      <c r="B1949" t="s">
        <v>9634</v>
      </c>
    </row>
    <row r="1950" spans="1:2">
      <c r="A1950" t="s">
        <v>9624</v>
      </c>
      <c r="B1950" t="s">
        <v>9625</v>
      </c>
    </row>
    <row r="1951" spans="1:2">
      <c r="A1951" t="s">
        <v>8961</v>
      </c>
      <c r="B1951" t="s">
        <v>6124</v>
      </c>
    </row>
    <row r="1952" spans="1:2">
      <c r="A1952" t="s">
        <v>8981</v>
      </c>
      <c r="B1952" t="s">
        <v>8982</v>
      </c>
    </row>
    <row r="1953" spans="1:2">
      <c r="A1953" t="s">
        <v>9136</v>
      </c>
      <c r="B1953" t="s">
        <v>9137</v>
      </c>
    </row>
    <row r="1954" spans="1:2">
      <c r="A1954" t="s">
        <v>9244</v>
      </c>
      <c r="B1954" t="s">
        <v>9245</v>
      </c>
    </row>
    <row r="1955" spans="1:2">
      <c r="A1955" t="s">
        <v>9107</v>
      </c>
      <c r="B1955" t="s">
        <v>5696</v>
      </c>
    </row>
    <row r="1956" spans="1:2">
      <c r="A1956" t="s">
        <v>9130</v>
      </c>
      <c r="B1956" t="s">
        <v>8132</v>
      </c>
    </row>
    <row r="1957" spans="1:2">
      <c r="A1957" t="s">
        <v>9206</v>
      </c>
      <c r="B1957" t="s">
        <v>9207</v>
      </c>
    </row>
    <row r="1958" spans="1:2">
      <c r="A1958" t="s">
        <v>9224</v>
      </c>
      <c r="B1958" t="s">
        <v>9225</v>
      </c>
    </row>
    <row r="1959" spans="1:2">
      <c r="A1959" t="s">
        <v>9458</v>
      </c>
      <c r="B1959" t="s">
        <v>9459</v>
      </c>
    </row>
    <row r="1960" spans="1:2">
      <c r="A1960" t="s">
        <v>9012</v>
      </c>
      <c r="B1960" t="s">
        <v>9013</v>
      </c>
    </row>
    <row r="1961" spans="1:2">
      <c r="A1961" t="s">
        <v>9350</v>
      </c>
      <c r="B1961" t="s">
        <v>5646</v>
      </c>
    </row>
    <row r="1962" spans="1:2">
      <c r="A1962" t="s">
        <v>9442</v>
      </c>
      <c r="B1962" t="s">
        <v>6206</v>
      </c>
    </row>
    <row r="1963" spans="1:2">
      <c r="A1963" t="s">
        <v>9486</v>
      </c>
      <c r="B1963" t="s">
        <v>9487</v>
      </c>
    </row>
    <row r="1964" spans="1:2">
      <c r="A1964" t="s">
        <v>9619</v>
      </c>
      <c r="B1964" t="s">
        <v>9620</v>
      </c>
    </row>
    <row r="1965" spans="1:2">
      <c r="A1965" t="s">
        <v>9405</v>
      </c>
      <c r="B1965" t="s">
        <v>9406</v>
      </c>
    </row>
    <row r="1966" spans="1:2">
      <c r="A1966" t="s">
        <v>9463</v>
      </c>
      <c r="B1966" t="s">
        <v>9464</v>
      </c>
    </row>
    <row r="1967" spans="1:2">
      <c r="A1967" t="s">
        <v>9171</v>
      </c>
      <c r="B1967" t="s">
        <v>9172</v>
      </c>
    </row>
    <row r="1968" spans="1:2">
      <c r="A1968" t="s">
        <v>9493</v>
      </c>
      <c r="B1968" t="s">
        <v>9494</v>
      </c>
    </row>
    <row r="1969" spans="1:2">
      <c r="A1969" t="s">
        <v>9283</v>
      </c>
      <c r="B1969" t="s">
        <v>9284</v>
      </c>
    </row>
    <row r="1970" spans="1:2">
      <c r="A1970" t="s">
        <v>9099</v>
      </c>
      <c r="B1970" t="s">
        <v>9100</v>
      </c>
    </row>
    <row r="1971" spans="1:2">
      <c r="A1971" t="s">
        <v>9424</v>
      </c>
      <c r="B1971" t="s">
        <v>9425</v>
      </c>
    </row>
    <row r="1972" spans="1:2">
      <c r="A1972" t="s">
        <v>9468</v>
      </c>
      <c r="B1972" t="s">
        <v>9469</v>
      </c>
    </row>
    <row r="1973" spans="1:2">
      <c r="A1973" t="s">
        <v>9006</v>
      </c>
      <c r="B1973" t="s">
        <v>9007</v>
      </c>
    </row>
    <row r="1974" spans="1:2">
      <c r="A1974" t="s">
        <v>9126</v>
      </c>
      <c r="B1974" t="s">
        <v>9127</v>
      </c>
    </row>
    <row r="1975" spans="1:2">
      <c r="A1975" t="s">
        <v>9093</v>
      </c>
      <c r="B1975" t="s">
        <v>5688</v>
      </c>
    </row>
    <row r="1976" spans="1:2">
      <c r="A1976" t="s">
        <v>9086</v>
      </c>
      <c r="B1976" t="s">
        <v>9087</v>
      </c>
    </row>
    <row r="1977" spans="1:2">
      <c r="A1977" t="s">
        <v>9484</v>
      </c>
      <c r="B1977" t="s">
        <v>6759</v>
      </c>
    </row>
    <row r="1978" spans="1:2">
      <c r="A1978" t="s">
        <v>8919</v>
      </c>
      <c r="B1978" t="s">
        <v>6780</v>
      </c>
    </row>
    <row r="1979" spans="1:2">
      <c r="A1979" t="s">
        <v>9036</v>
      </c>
      <c r="B1979" t="s">
        <v>9037</v>
      </c>
    </row>
    <row r="1980" spans="1:2">
      <c r="A1980" t="s">
        <v>9509</v>
      </c>
      <c r="B1980" t="s">
        <v>9510</v>
      </c>
    </row>
    <row r="1981" spans="1:2">
      <c r="A1981" t="s">
        <v>9577</v>
      </c>
      <c r="B1981" t="s">
        <v>9578</v>
      </c>
    </row>
    <row r="1982" spans="1:2">
      <c r="A1982" t="s">
        <v>9512</v>
      </c>
      <c r="B1982" t="s">
        <v>9513</v>
      </c>
    </row>
    <row r="1983" spans="1:2">
      <c r="A1983" t="s">
        <v>8950</v>
      </c>
      <c r="B1983" t="s">
        <v>5915</v>
      </c>
    </row>
    <row r="1984" spans="1:2">
      <c r="A1984" t="s">
        <v>9004</v>
      </c>
      <c r="B1984" t="s">
        <v>9005</v>
      </c>
    </row>
    <row r="1985" spans="1:2">
      <c r="A1985" t="s">
        <v>8977</v>
      </c>
      <c r="B1985" t="s">
        <v>8978</v>
      </c>
    </row>
    <row r="1986" spans="1:2">
      <c r="A1986" t="s">
        <v>9091</v>
      </c>
      <c r="B1986" t="s">
        <v>9092</v>
      </c>
    </row>
    <row r="1987" spans="1:2">
      <c r="A1987" t="s">
        <v>9146</v>
      </c>
      <c r="B1987" t="s">
        <v>9147</v>
      </c>
    </row>
    <row r="1988" spans="1:2">
      <c r="A1988" t="s">
        <v>9290</v>
      </c>
      <c r="B1988" t="s">
        <v>9291</v>
      </c>
    </row>
    <row r="1989" spans="1:2">
      <c r="A1989" t="s">
        <v>9248</v>
      </c>
      <c r="B1989" t="s">
        <v>9249</v>
      </c>
    </row>
    <row r="1990" spans="1:2">
      <c r="A1990" t="s">
        <v>9024</v>
      </c>
      <c r="B1990" t="s">
        <v>9025</v>
      </c>
    </row>
    <row r="1991" spans="1:2">
      <c r="A1991" t="s">
        <v>9649</v>
      </c>
      <c r="B1991" t="s">
        <v>9650</v>
      </c>
    </row>
    <row r="1992" spans="1:2">
      <c r="A1992" t="s">
        <v>9022</v>
      </c>
      <c r="B1992" t="s">
        <v>9023</v>
      </c>
    </row>
    <row r="1993" spans="1:2">
      <c r="A1993" t="s">
        <v>9500</v>
      </c>
      <c r="B1993" t="s">
        <v>9501</v>
      </c>
    </row>
    <row r="1994" spans="1:2">
      <c r="A1994" t="s">
        <v>9069</v>
      </c>
      <c r="B1994" t="s">
        <v>9070</v>
      </c>
    </row>
    <row r="1995" spans="1:2">
      <c r="A1995" t="s">
        <v>9334</v>
      </c>
      <c r="B1995" t="s">
        <v>9335</v>
      </c>
    </row>
    <row r="1996" spans="1:2">
      <c r="A1996" t="s">
        <v>8991</v>
      </c>
      <c r="B1996" t="s">
        <v>8992</v>
      </c>
    </row>
    <row r="1997" spans="1:2">
      <c r="A1997" t="s">
        <v>9018</v>
      </c>
      <c r="B1997" t="s">
        <v>9019</v>
      </c>
    </row>
    <row r="1998" spans="1:2">
      <c r="A1998" t="s">
        <v>9562</v>
      </c>
      <c r="B1998" t="s">
        <v>9563</v>
      </c>
    </row>
    <row r="1999" spans="1:2">
      <c r="A1999" t="s">
        <v>9274</v>
      </c>
      <c r="B1999" t="s">
        <v>9275</v>
      </c>
    </row>
    <row r="2000" spans="1:2">
      <c r="A2000" t="s">
        <v>9167</v>
      </c>
      <c r="B2000" t="s">
        <v>9168</v>
      </c>
    </row>
    <row r="2001" spans="1:2">
      <c r="A2001" t="s">
        <v>9591</v>
      </c>
      <c r="B2001" t="s">
        <v>9592</v>
      </c>
    </row>
    <row r="2002" spans="1:2">
      <c r="A2002" t="s">
        <v>9268</v>
      </c>
      <c r="B2002" t="s">
        <v>9269</v>
      </c>
    </row>
    <row r="2003" spans="1:2">
      <c r="A2003" t="s">
        <v>9082</v>
      </c>
      <c r="B2003" t="s">
        <v>9083</v>
      </c>
    </row>
    <row r="2004" spans="1:2">
      <c r="A2004" t="s">
        <v>9181</v>
      </c>
      <c r="B2004" t="s">
        <v>9182</v>
      </c>
    </row>
    <row r="2005" spans="1:2">
      <c r="A2005" t="s">
        <v>8929</v>
      </c>
      <c r="B2005" t="s">
        <v>8930</v>
      </c>
    </row>
    <row r="2006" spans="1:2">
      <c r="A2006" t="s">
        <v>9237</v>
      </c>
      <c r="B2006" t="s">
        <v>9238</v>
      </c>
    </row>
    <row r="2007" spans="1:2">
      <c r="A2007" t="s">
        <v>9262</v>
      </c>
      <c r="B2007" t="s">
        <v>9263</v>
      </c>
    </row>
    <row r="2008" spans="1:2">
      <c r="A2008" t="s">
        <v>9646</v>
      </c>
      <c r="B2008" t="s">
        <v>9647</v>
      </c>
    </row>
    <row r="2009" spans="1:2">
      <c r="A2009" t="s">
        <v>9644</v>
      </c>
      <c r="B2009" t="s">
        <v>9645</v>
      </c>
    </row>
    <row r="2010" spans="1:2">
      <c r="A2010" t="s">
        <v>9640</v>
      </c>
      <c r="B2010" t="s">
        <v>9641</v>
      </c>
    </row>
    <row r="2011" spans="1:2">
      <c r="A2011" t="s">
        <v>9642</v>
      </c>
      <c r="B2011" t="s">
        <v>9643</v>
      </c>
    </row>
    <row r="2012" spans="1:2">
      <c r="A2012" t="s">
        <v>9298</v>
      </c>
      <c r="B2012" t="s">
        <v>9299</v>
      </c>
    </row>
    <row r="2013" spans="1:2">
      <c r="A2013" t="s">
        <v>9294</v>
      </c>
      <c r="B2013" t="s">
        <v>9295</v>
      </c>
    </row>
    <row r="2014" spans="1:2">
      <c r="A2014" t="s">
        <v>9204</v>
      </c>
      <c r="B2014" t="s">
        <v>9205</v>
      </c>
    </row>
    <row r="2015" spans="1:2">
      <c r="A2015" t="s">
        <v>9382</v>
      </c>
      <c r="B2015" t="s">
        <v>9383</v>
      </c>
    </row>
    <row r="2016" spans="1:2">
      <c r="A2016" t="s">
        <v>9140</v>
      </c>
      <c r="B2016" t="s">
        <v>9141</v>
      </c>
    </row>
    <row r="2017" spans="1:2">
      <c r="A2017" t="s">
        <v>9567</v>
      </c>
      <c r="B2017" t="s">
        <v>9568</v>
      </c>
    </row>
    <row r="2018" spans="1:2">
      <c r="A2018" t="s">
        <v>9074</v>
      </c>
      <c r="B2018" t="s">
        <v>9075</v>
      </c>
    </row>
    <row r="2019" spans="1:2">
      <c r="A2019" t="s">
        <v>9613</v>
      </c>
      <c r="B2019" t="s">
        <v>6472</v>
      </c>
    </row>
    <row r="2020" spans="1:2">
      <c r="A2020" t="s">
        <v>9398</v>
      </c>
      <c r="B2020" t="s">
        <v>9399</v>
      </c>
    </row>
    <row r="2021" spans="1:2">
      <c r="A2021" t="s">
        <v>9097</v>
      </c>
      <c r="B2021" t="s">
        <v>9098</v>
      </c>
    </row>
    <row r="2022" spans="1:2">
      <c r="A2022" t="s">
        <v>9456</v>
      </c>
      <c r="B2022" t="s">
        <v>9457</v>
      </c>
    </row>
    <row r="2023" spans="1:2">
      <c r="A2023" t="s">
        <v>9105</v>
      </c>
      <c r="B2023" t="s">
        <v>9106</v>
      </c>
    </row>
    <row r="2024" spans="1:2">
      <c r="A2024" t="s">
        <v>9286</v>
      </c>
      <c r="B2024" t="s">
        <v>9287</v>
      </c>
    </row>
    <row r="2025" spans="1:2">
      <c r="A2025" t="s">
        <v>9191</v>
      </c>
      <c r="B2025" t="s">
        <v>5756</v>
      </c>
    </row>
    <row r="2026" spans="1:2">
      <c r="A2026" t="s">
        <v>8993</v>
      </c>
      <c r="B2026" t="s">
        <v>8994</v>
      </c>
    </row>
    <row r="2027" spans="1:2">
      <c r="A2027" t="s">
        <v>9587</v>
      </c>
      <c r="B2027" t="s">
        <v>9588</v>
      </c>
    </row>
    <row r="2028" spans="1:2">
      <c r="A2028" t="s">
        <v>9251</v>
      </c>
      <c r="B2028" t="s">
        <v>9252</v>
      </c>
    </row>
    <row r="2029" spans="1:2">
      <c r="A2029" t="s">
        <v>9631</v>
      </c>
      <c r="B2029" t="s">
        <v>9632</v>
      </c>
    </row>
    <row r="2030" spans="1:2">
      <c r="A2030" t="s">
        <v>8975</v>
      </c>
      <c r="B2030" t="s">
        <v>8976</v>
      </c>
    </row>
    <row r="2031" spans="1:2">
      <c r="A2031" t="s">
        <v>9201</v>
      </c>
      <c r="B2031" t="s">
        <v>9202</v>
      </c>
    </row>
    <row r="2032" spans="1:2">
      <c r="A2032" t="s">
        <v>9163</v>
      </c>
      <c r="B2032" t="s">
        <v>9164</v>
      </c>
    </row>
    <row r="2033" spans="1:2">
      <c r="A2033" t="s">
        <v>9272</v>
      </c>
      <c r="B2033" t="s">
        <v>9273</v>
      </c>
    </row>
    <row r="2034" spans="1:2">
      <c r="A2034" t="s">
        <v>8989</v>
      </c>
      <c r="B2034" t="s">
        <v>8990</v>
      </c>
    </row>
    <row r="2035" spans="1:2">
      <c r="A2035" t="s">
        <v>9466</v>
      </c>
      <c r="B2035" t="s">
        <v>9467</v>
      </c>
    </row>
    <row r="2036" spans="1:2">
      <c r="A2036" t="s">
        <v>9305</v>
      </c>
      <c r="B2036" t="s">
        <v>9306</v>
      </c>
    </row>
    <row r="2037" spans="1:2">
      <c r="A2037" t="s">
        <v>9384</v>
      </c>
      <c r="B2037" t="s">
        <v>9385</v>
      </c>
    </row>
    <row r="2038" spans="1:2">
      <c r="A2038" t="s">
        <v>9072</v>
      </c>
      <c r="B2038" t="s">
        <v>9073</v>
      </c>
    </row>
    <row r="2039" spans="1:2">
      <c r="A2039" t="s">
        <v>9027</v>
      </c>
      <c r="B2039" t="s">
        <v>9028</v>
      </c>
    </row>
    <row r="2040" spans="1:2">
      <c r="A2040" t="s">
        <v>9430</v>
      </c>
      <c r="B2040" t="s">
        <v>9431</v>
      </c>
    </row>
    <row r="2041" spans="1:2">
      <c r="A2041" t="s">
        <v>9474</v>
      </c>
      <c r="B2041" t="s">
        <v>9475</v>
      </c>
    </row>
    <row r="2042" spans="1:2">
      <c r="A2042" t="s">
        <v>9215</v>
      </c>
      <c r="B2042" t="s">
        <v>9216</v>
      </c>
    </row>
    <row r="2043" spans="1:2">
      <c r="A2043" t="s">
        <v>9292</v>
      </c>
      <c r="B2043" t="s">
        <v>9293</v>
      </c>
    </row>
    <row r="2044" spans="1:2">
      <c r="A2044" t="s">
        <v>9016</v>
      </c>
      <c r="B2044" t="s">
        <v>9017</v>
      </c>
    </row>
    <row r="2045" spans="1:2">
      <c r="A2045" t="s">
        <v>9322</v>
      </c>
      <c r="B2045" t="s">
        <v>9323</v>
      </c>
    </row>
    <row r="2046" spans="1:2">
      <c r="A2046" t="s">
        <v>9595</v>
      </c>
      <c r="B2046" t="s">
        <v>9596</v>
      </c>
    </row>
    <row r="2047" spans="1:2">
      <c r="A2047" t="s">
        <v>9549</v>
      </c>
      <c r="B2047" t="s">
        <v>9550</v>
      </c>
    </row>
    <row r="2048" spans="1:2">
      <c r="A2048" t="s">
        <v>9570</v>
      </c>
      <c r="B2048" t="s">
        <v>6757</v>
      </c>
    </row>
    <row r="2049" spans="1:2">
      <c r="A2049" t="s">
        <v>9579</v>
      </c>
      <c r="B2049" t="s">
        <v>9580</v>
      </c>
    </row>
    <row r="2050" spans="1:2">
      <c r="A2050" t="s">
        <v>9539</v>
      </c>
      <c r="B2050" t="s">
        <v>9540</v>
      </c>
    </row>
    <row r="2051" spans="1:2">
      <c r="A2051" t="s">
        <v>9629</v>
      </c>
      <c r="B2051" t="s">
        <v>9630</v>
      </c>
    </row>
    <row r="2052" spans="1:2">
      <c r="A2052" t="s">
        <v>9533</v>
      </c>
      <c r="B2052" t="s">
        <v>9534</v>
      </c>
    </row>
    <row r="2053" spans="1:2">
      <c r="A2053" t="s">
        <v>9439</v>
      </c>
      <c r="B2053" t="s">
        <v>9440</v>
      </c>
    </row>
    <row r="2054" spans="1:2">
      <c r="A2054" t="s">
        <v>9118</v>
      </c>
      <c r="B2054" t="s">
        <v>9119</v>
      </c>
    </row>
    <row r="2055" spans="1:2">
      <c r="A2055" t="s">
        <v>9378</v>
      </c>
      <c r="B2055" t="s">
        <v>9379</v>
      </c>
    </row>
    <row r="2056" spans="1:2">
      <c r="A2056" t="s">
        <v>9581</v>
      </c>
      <c r="B2056" t="s">
        <v>9582</v>
      </c>
    </row>
    <row r="2057" spans="1:2">
      <c r="A2057" t="s">
        <v>9043</v>
      </c>
      <c r="B2057" t="s">
        <v>9044</v>
      </c>
    </row>
    <row r="2058" spans="1:2">
      <c r="A2058" t="s">
        <v>9041</v>
      </c>
      <c r="B2058" t="s">
        <v>9042</v>
      </c>
    </row>
    <row r="2059" spans="1:2">
      <c r="A2059" t="s">
        <v>9583</v>
      </c>
      <c r="B2059" t="s">
        <v>9584</v>
      </c>
    </row>
    <row r="2060" spans="1:2">
      <c r="A2060" t="s">
        <v>9482</v>
      </c>
      <c r="B2060" t="s">
        <v>9483</v>
      </c>
    </row>
    <row r="2061" spans="1:2">
      <c r="A2061" t="s">
        <v>8594</v>
      </c>
      <c r="B2061" t="s">
        <v>8595</v>
      </c>
    </row>
    <row r="2062" spans="1:2">
      <c r="A2062" t="s">
        <v>8596</v>
      </c>
      <c r="B2062" t="s">
        <v>8597</v>
      </c>
    </row>
    <row r="2063" spans="1:2">
      <c r="A2063" t="s">
        <v>8756</v>
      </c>
      <c r="B2063" t="s">
        <v>8757</v>
      </c>
    </row>
    <row r="2064" spans="1:2">
      <c r="A2064" t="s">
        <v>9507</v>
      </c>
      <c r="B2064" t="s">
        <v>9508</v>
      </c>
    </row>
    <row r="2065" spans="1:2">
      <c r="A2065" t="s">
        <v>8933</v>
      </c>
      <c r="B2065" t="s">
        <v>8934</v>
      </c>
    </row>
    <row r="2066" spans="1:2">
      <c r="A2066" t="s">
        <v>8952</v>
      </c>
      <c r="B2066" t="s">
        <v>8953</v>
      </c>
    </row>
    <row r="2067" spans="1:2">
      <c r="A2067" t="s">
        <v>8377</v>
      </c>
      <c r="B2067" t="s">
        <v>8378</v>
      </c>
    </row>
    <row r="2068" spans="1:2">
      <c r="A2068" t="s">
        <v>8601</v>
      </c>
      <c r="B2068" t="s">
        <v>8602</v>
      </c>
    </row>
    <row r="2069" spans="1:2">
      <c r="A2069" t="s">
        <v>8603</v>
      </c>
      <c r="B2069" t="s">
        <v>8604</v>
      </c>
    </row>
    <row r="2070" spans="1:2">
      <c r="A2070" t="s">
        <v>8379</v>
      </c>
      <c r="B2070" t="s">
        <v>8380</v>
      </c>
    </row>
    <row r="2071" spans="1:2">
      <c r="A2071" t="s">
        <v>8605</v>
      </c>
      <c r="B2071" t="s">
        <v>9659</v>
      </c>
    </row>
    <row r="2072" spans="1:2">
      <c r="A2072" t="s">
        <v>8606</v>
      </c>
      <c r="B2072" t="s">
        <v>8607</v>
      </c>
    </row>
    <row r="2073" spans="1:2">
      <c r="A2073" t="s">
        <v>8813</v>
      </c>
      <c r="B2073" t="s">
        <v>8814</v>
      </c>
    </row>
    <row r="2074" spans="1:2">
      <c r="A2074" t="s">
        <v>9664</v>
      </c>
      <c r="B2074" t="s">
        <v>9665</v>
      </c>
    </row>
    <row r="2075" spans="1:2">
      <c r="A2075" t="s">
        <v>8811</v>
      </c>
      <c r="B2075" t="s">
        <v>8812</v>
      </c>
    </row>
    <row r="2076" spans="1:2">
      <c r="A2076" t="s">
        <v>9656</v>
      </c>
      <c r="B2076" t="s">
        <v>9657</v>
      </c>
    </row>
    <row r="2077" spans="1:2">
      <c r="A2077" t="s">
        <v>8815</v>
      </c>
      <c r="B2077" t="s">
        <v>8816</v>
      </c>
    </row>
    <row r="2078" spans="1:2">
      <c r="A2078" t="s">
        <v>9662</v>
      </c>
      <c r="B2078" t="s">
        <v>9663</v>
      </c>
    </row>
    <row r="2079" spans="1:2">
      <c r="A2079" t="s">
        <v>9660</v>
      </c>
      <c r="B2079" t="s">
        <v>9661</v>
      </c>
    </row>
    <row r="2080" spans="1:2">
      <c r="A2080" t="s">
        <v>8593</v>
      </c>
      <c r="B2080" t="s">
        <v>9658</v>
      </c>
    </row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4"/>
  <sheetViews>
    <sheetView workbookViewId="0">
      <selection activeCell="F24" sqref="F24"/>
    </sheetView>
  </sheetViews>
  <sheetFormatPr defaultRowHeight="21" customHeight="1"/>
  <cols>
    <col min="1" max="1" width="11.375" style="40" customWidth="1"/>
    <col min="2" max="2" width="10" style="40" customWidth="1"/>
    <col min="3" max="3" width="9.375" style="40" customWidth="1"/>
    <col min="4" max="4" width="23.375" style="40" customWidth="1"/>
    <col min="5" max="5" width="60" style="45" customWidth="1"/>
    <col min="6" max="6" width="11.125" style="46" customWidth="1"/>
    <col min="7" max="7" width="11.375" style="46" bestFit="1" customWidth="1"/>
    <col min="8" max="9" width="6.5" style="47" hidden="1" customWidth="1"/>
    <col min="10" max="10" width="11.375" style="46" bestFit="1" customWidth="1"/>
    <col min="11" max="11" width="12.625" style="40" customWidth="1"/>
    <col min="12" max="16384" width="9" style="40"/>
  </cols>
  <sheetData>
    <row r="1" spans="1:11" ht="21" customHeight="1">
      <c r="A1" s="49" t="s">
        <v>8444</v>
      </c>
      <c r="B1" s="12" t="s">
        <v>9666</v>
      </c>
      <c r="C1" s="49" t="s">
        <v>5309</v>
      </c>
      <c r="D1" s="12" t="s">
        <v>6228</v>
      </c>
      <c r="E1" s="50" t="s">
        <v>5325</v>
      </c>
      <c r="F1" s="51" t="s">
        <v>5326</v>
      </c>
      <c r="G1" s="51" t="s">
        <v>8449</v>
      </c>
      <c r="H1" s="51"/>
      <c r="I1" s="51"/>
      <c r="J1" s="51" t="s">
        <v>8818</v>
      </c>
      <c r="K1" s="62" t="s">
        <v>8821</v>
      </c>
    </row>
    <row r="2" spans="1:11" ht="21" customHeight="1">
      <c r="E2" s="52" t="s">
        <v>8404</v>
      </c>
      <c r="F2" s="55" t="s">
        <v>5328</v>
      </c>
      <c r="G2" s="53" t="str">
        <f ca="1">IF(ISERROR(H2),"","O")</f>
        <v/>
      </c>
      <c r="H2" s="47" t="e">
        <f ca="1">IF(E2=INDIRECT(Main!C5&amp;"!$A" &amp; MATCH(B1,INDIRECT(Main!C5&amp;"!$B:$B"),0)),MATCH(B1,INDIRECT(Main!C5&amp;"!$B:$B"),0),ERROR.TYPE(7))</f>
        <v>#REF!</v>
      </c>
      <c r="I2" s="47" t="str">
        <f ca="1">IF(ISERROR(H2),"",MATCH(B1,INDIRECT(Main!C5&amp;"!$B:$B"),1))</f>
        <v/>
      </c>
      <c r="J2" s="46" t="str">
        <f>IF(COUNTIFS('재무비율 비교'!B:B,$D$1,'재무비율 비교'!D:D,$E2)&gt;0,"V","")</f>
        <v/>
      </c>
    </row>
    <row r="3" spans="1:11" ht="21" customHeight="1">
      <c r="E3" s="52" t="s">
        <v>8443</v>
      </c>
      <c r="F3" s="55" t="s">
        <v>5327</v>
      </c>
      <c r="G3" s="53" t="str">
        <f t="shared" ref="G3:G21" ca="1" si="0">IF(ISERROR(H3),"","O")</f>
        <v/>
      </c>
      <c r="H3" s="47" t="e">
        <f ca="1">IF(E3=INDIRECT(Main!C4&amp;"!$A" &amp; MATCH(B1,INDIRECT(Main!C4&amp;"!$B:$B"),0)),MATCH(B1,INDIRECT(Main!C4&amp;"!$B:$B"),0),ERROR.TYPE(7))</f>
        <v>#REF!</v>
      </c>
      <c r="I3" s="47" t="str">
        <f ca="1">IF(ISERROR(H3),"",MATCH(B1,INDIRECT(Main!C4&amp;"!$B:$B"),1))</f>
        <v/>
      </c>
      <c r="J3" s="46" t="str">
        <f>IF(COUNTIFS('재무비율 비교'!B:B,$D$1,'재무비율 비교'!D:D,$E3)&gt;0,"V","")</f>
        <v/>
      </c>
    </row>
    <row r="4" spans="1:11" ht="21" hidden="1" customHeight="1">
      <c r="E4" s="52" t="s">
        <v>8405</v>
      </c>
      <c r="F4" s="55" t="s">
        <v>8416</v>
      </c>
      <c r="G4" s="53" t="str">
        <f t="shared" ca="1" si="0"/>
        <v/>
      </c>
      <c r="H4" s="47" t="e">
        <f ca="1">IF(E4=INDIRECT(Main!C5&amp;"!$A" &amp; MATCH(B1,INDIRECT(Main!C5&amp;"!$B:$B"),0)),MATCH(B1,INDIRECT(Main!C5&amp;"!$B:$B"),0),ERROR.TYPE(7))</f>
        <v>#REF!</v>
      </c>
      <c r="I4" s="47" t="str">
        <f ca="1">IF(ISERROR(H4),"",MATCH(B1,INDIRECT(Main!C5&amp;"!$B:$B"),1))</f>
        <v/>
      </c>
      <c r="J4" s="46" t="str">
        <f>IF(COUNTIFS('재무비율 비교'!B:B,$D$1,'재무비율 비교'!D:D,$E4)&gt;0,"V","")</f>
        <v/>
      </c>
    </row>
    <row r="5" spans="1:11" ht="21" hidden="1" customHeight="1">
      <c r="E5" s="52" t="s">
        <v>8403</v>
      </c>
      <c r="F5" s="55" t="s">
        <v>5329</v>
      </c>
      <c r="G5" s="53" t="str">
        <f t="shared" ca="1" si="0"/>
        <v/>
      </c>
      <c r="H5" s="47" t="e">
        <f ca="1">IF(E5=INDIRECT(Main!C4&amp;"!$A" &amp; MATCH(B1,INDIRECT(Main!C4&amp;"!$B:$B"),0)),MATCH(B1,INDIRECT(Main!C4&amp;"!$B:$B"),0),ERROR.TYPE(7))</f>
        <v>#REF!</v>
      </c>
      <c r="I5" s="47" t="str">
        <f ca="1">IF(ISERROR(H5),"",MATCH(B1,INDIRECT(Main!C4&amp;"!$B:$B"),1))</f>
        <v/>
      </c>
      <c r="J5" s="46" t="str">
        <f>IF(COUNTIFS('재무비율 비교'!B:B,$D$1,'재무비율 비교'!D:D,$E5)&gt;0,"V","")</f>
        <v/>
      </c>
    </row>
    <row r="6" spans="1:11" ht="21" hidden="1" customHeight="1">
      <c r="E6" s="52" t="s">
        <v>8408</v>
      </c>
      <c r="F6" s="55" t="s">
        <v>8418</v>
      </c>
      <c r="G6" s="53" t="str">
        <f t="shared" ca="1" si="0"/>
        <v/>
      </c>
      <c r="H6" s="47" t="e">
        <f ca="1">IF(E6=INDIRECT(Main!C7&amp;"!$A" &amp; MATCH(B1,INDIRECT(Main!C7&amp;"!$B:$B"),0)),MATCH(B1,INDIRECT(Main!C7&amp;"!$B:$B"),0),ERROR.TYPE(7))</f>
        <v>#REF!</v>
      </c>
      <c r="I6" s="47" t="str">
        <f ca="1">IF(ISERROR(H6),"",MATCH(B1,INDIRECT(Main!C7&amp;"!$B:$B"),1))</f>
        <v/>
      </c>
      <c r="J6" s="46" t="str">
        <f>IF(COUNTIFS('재무비율 비교'!B:B,$D$1,'재무비율 비교'!D:D,$E6)&gt;0,"V","")</f>
        <v/>
      </c>
    </row>
    <row r="7" spans="1:11" ht="21" hidden="1" customHeight="1">
      <c r="E7" s="52" t="s">
        <v>8406</v>
      </c>
      <c r="F7" s="55" t="s">
        <v>5330</v>
      </c>
      <c r="G7" s="53" t="str">
        <f t="shared" ca="1" si="0"/>
        <v/>
      </c>
      <c r="H7" s="47" t="e">
        <f ca="1">IF(E7=INDIRECT(Main!C6&amp;"!$A" &amp; MATCH(B1,INDIRECT(Main!C6&amp;"!$B:$B"),0)),MATCH(B1,INDIRECT(Main!C6&amp;"!$B:$B"),0),ERROR.TYPE(7))</f>
        <v>#REF!</v>
      </c>
      <c r="I7" s="47" t="str">
        <f ca="1">IF(ISERROR(H7),"",MATCH(B1,INDIRECT(Main!C6&amp;"!$B:$B"),1))</f>
        <v/>
      </c>
      <c r="J7" s="46" t="str">
        <f>IF(COUNTIFS('재무비율 비교'!B:B,$D$1,'재무비율 비교'!D:D,$E7)&gt;0,"V","")</f>
        <v/>
      </c>
    </row>
    <row r="8" spans="1:11" ht="21" hidden="1" customHeight="1">
      <c r="E8" s="52" t="s">
        <v>8409</v>
      </c>
      <c r="F8" s="55" t="s">
        <v>8417</v>
      </c>
      <c r="G8" s="53" t="str">
        <f t="shared" ca="1" si="0"/>
        <v/>
      </c>
      <c r="H8" s="47" t="e">
        <f ca="1">IF(E8=INDIRECT(Main!C7&amp;"!$A" &amp; MATCH(B1,INDIRECT(Main!C7&amp;"!$B:$B"),0)),MATCH(B1,INDIRECT(Main!C7&amp;"!$B:$B"),0),ERROR.TYPE(7))</f>
        <v>#REF!</v>
      </c>
      <c r="I8" s="47" t="str">
        <f ca="1">IF(ISERROR(H8),"",MATCH(B1,INDIRECT(Main!C7&amp;"!$B:$B"),1))</f>
        <v/>
      </c>
      <c r="J8" s="46" t="str">
        <f>IF(COUNTIFS('재무비율 비교'!B:B,$D$1,'재무비율 비교'!D:D,$E8)&gt;0,"V","")</f>
        <v/>
      </c>
    </row>
    <row r="9" spans="1:11" ht="21" hidden="1" customHeight="1">
      <c r="E9" s="52" t="s">
        <v>8407</v>
      </c>
      <c r="F9" s="55" t="s">
        <v>5331</v>
      </c>
      <c r="G9" s="53" t="str">
        <f t="shared" ca="1" si="0"/>
        <v/>
      </c>
      <c r="H9" s="47" t="e">
        <f ca="1">IF(E9=INDIRECT(Main!C6&amp;"!$A" &amp; MATCH(B1,INDIRECT(Main!C6&amp;"!$B:$B"),0)),MATCH(B1,INDIRECT(Main!C6&amp;"!$B:$B"),0),ERROR.TYPE(7))</f>
        <v>#REF!</v>
      </c>
      <c r="I9" s="47" t="str">
        <f ca="1">IF(ISERROR(H9),"",MATCH(B1,INDIRECT(Main!C6&amp;"!$B:$B"),1))</f>
        <v/>
      </c>
      <c r="J9" s="46" t="str">
        <f>IF(COUNTIFS('재무비율 비교'!B:B,$D$1,'재무비율 비교'!D:D,$E9)&gt;0,"V","")</f>
        <v/>
      </c>
    </row>
    <row r="10" spans="1:11" ht="21" hidden="1" customHeight="1">
      <c r="E10" s="52" t="s">
        <v>8388</v>
      </c>
      <c r="F10" s="55" t="s">
        <v>8419</v>
      </c>
      <c r="G10" s="53" t="str">
        <f t="shared" ca="1" si="0"/>
        <v/>
      </c>
      <c r="H10" s="47" t="e">
        <f ca="1">IF(E10=INDIRECT(Main!C9&amp;"!$A" &amp; MATCH(B1,INDIRECT(Main!C9&amp;"!$B:$B"),0)),MATCH(B1,INDIRECT(Main!C9&amp;"!$B:$B"),0),ERROR.TYPE(7))</f>
        <v>#REF!</v>
      </c>
      <c r="I10" s="47" t="str">
        <f ca="1">IF(ISERROR(H10),"",MATCH(B1,INDIRECT(Main!C9&amp;"!$B:$B"),1))</f>
        <v/>
      </c>
      <c r="J10" s="46" t="str">
        <f>IF(COUNTIFS('재무비율 비교'!B:B,$D$1,'재무비율 비교'!D:D,$E10)&gt;0,"V","")</f>
        <v/>
      </c>
    </row>
    <row r="11" spans="1:11" ht="21" hidden="1" customHeight="1">
      <c r="E11" s="52" t="s">
        <v>8383</v>
      </c>
      <c r="F11" s="55" t="s">
        <v>8420</v>
      </c>
      <c r="G11" s="53" t="str">
        <f t="shared" ca="1" si="0"/>
        <v/>
      </c>
      <c r="H11" s="47" t="e">
        <f ca="1">IF(E11=INDIRECT(Main!C8&amp;"!$A" &amp; MATCH(B1,INDIRECT(Main!C8&amp;"!$B:$B"),0)),MATCH(B1,INDIRECT(Main!C8&amp;"!$B:$B"),0),ERROR.TYPE(7))</f>
        <v>#REF!</v>
      </c>
      <c r="I11" s="47" t="str">
        <f ca="1">IF(ISERROR(H11),"",MATCH(B1,INDIRECT(Main!C8&amp;"!$B:$B"),1))</f>
        <v/>
      </c>
      <c r="J11" s="46" t="str">
        <f>IF(COUNTIFS('재무비율 비교'!B:B,$D$1,'재무비율 비교'!D:D,$E11)&gt;0,"V","")</f>
        <v/>
      </c>
    </row>
    <row r="12" spans="1:11" ht="21" hidden="1" customHeight="1">
      <c r="E12" s="52" t="s">
        <v>8391</v>
      </c>
      <c r="F12" s="55" t="s">
        <v>8421</v>
      </c>
      <c r="G12" s="53" t="str">
        <f t="shared" ca="1" si="0"/>
        <v/>
      </c>
      <c r="H12" s="47" t="e">
        <f ca="1">IF(E12=INDIRECT(Main!C9&amp;"!$A" &amp; MATCH(B1,INDIRECT(Main!C9&amp;"!$B:$B"),0)),MATCH(B1,INDIRECT(Main!C9&amp;"!$B:$B"),0),ERROR.TYPE(7))</f>
        <v>#REF!</v>
      </c>
      <c r="I12" s="47" t="str">
        <f ca="1">IF(ISERROR(H12),"",MATCH(B1,INDIRECT(Main!C9&amp;"!$B:$B"),1))</f>
        <v/>
      </c>
      <c r="J12" s="46" t="str">
        <f>IF(COUNTIFS('재무비율 비교'!B:B,$D$1,'재무비율 비교'!D:D,$E12)&gt;0,"V","")</f>
        <v/>
      </c>
    </row>
    <row r="13" spans="1:11" ht="21" hidden="1" customHeight="1">
      <c r="E13" s="52" t="s">
        <v>8411</v>
      </c>
      <c r="F13" s="55" t="s">
        <v>8422</v>
      </c>
      <c r="G13" s="53" t="str">
        <f t="shared" ca="1" si="0"/>
        <v/>
      </c>
      <c r="H13" s="47" t="e">
        <f ca="1">IF(E13=INDIRECT(Main!C8&amp;"!$A" &amp; MATCH(B1,INDIRECT(Main!C8&amp;"!$B:$B"),0)),MATCH(B1,INDIRECT(Main!C8&amp;"!$B:$B"),0),ERROR.TYPE(7))</f>
        <v>#REF!</v>
      </c>
      <c r="I13" s="47" t="str">
        <f ca="1">IF(ISERROR(H13),"",MATCH(B1,INDIRECT(Main!C8&amp;"!$B:$B"),1))</f>
        <v/>
      </c>
      <c r="J13" s="46" t="str">
        <f>IF(COUNTIFS('재무비율 비교'!B:B,$D$1,'재무비율 비교'!D:D,$E13)&gt;0,"V","")</f>
        <v/>
      </c>
    </row>
    <row r="14" spans="1:11" ht="21" customHeight="1">
      <c r="E14" s="52" t="s">
        <v>8387</v>
      </c>
      <c r="F14" s="55" t="s">
        <v>8423</v>
      </c>
      <c r="G14" s="53" t="str">
        <f t="shared" ca="1" si="0"/>
        <v/>
      </c>
      <c r="H14" s="47" t="e">
        <f ca="1">IF(E14=INDIRECT(Main!C9&amp;"!$A" &amp; MATCH(B1,INDIRECT(Main!C9&amp;"!$B:$B"),0)),MATCH(B1,INDIRECT(Main!C9&amp;"!$B:$B"),0),ERROR.TYPE(7))</f>
        <v>#REF!</v>
      </c>
      <c r="I14" s="47" t="str">
        <f ca="1">IF(ISERROR(H14),"",MATCH(B1,INDIRECT(Main!C9&amp;"!$B:$B"),1))</f>
        <v/>
      </c>
      <c r="J14" s="46" t="str">
        <f>IF(COUNTIFS('재무비율 비교'!B:B,$D$1,'재무비율 비교'!D:D,$E14)&gt;0,"V","")</f>
        <v/>
      </c>
    </row>
    <row r="15" spans="1:11" ht="21" customHeight="1">
      <c r="E15" s="52" t="s">
        <v>8410</v>
      </c>
      <c r="F15" s="55" t="s">
        <v>5339</v>
      </c>
      <c r="G15" s="53" t="str">
        <f t="shared" ca="1" si="0"/>
        <v/>
      </c>
      <c r="H15" s="47" t="e">
        <f ca="1">IF(E15=INDIRECT(Main!C8&amp;"!$A" &amp; MATCH(B1,INDIRECT(Main!C8&amp;"!$B:$B"),0)),MATCH(B1,INDIRECT(Main!C8&amp;"!$B:$B"),0),ERROR.TYPE(7))</f>
        <v>#REF!</v>
      </c>
      <c r="I15" s="47" t="str">
        <f ca="1">IF(ISERROR(H15),"",MATCH(B1,INDIRECT(Main!C8&amp;"!$B:$B"),1))</f>
        <v/>
      </c>
      <c r="J15" s="46" t="str">
        <f>IF(COUNTIFS('재무비율 비교'!B:B,$D$1,'재무비율 비교'!D:D,$E15)&gt;0,"V","")</f>
        <v/>
      </c>
    </row>
    <row r="16" spans="1:11" ht="21" hidden="1" customHeight="1">
      <c r="E16" s="52" t="s">
        <v>8389</v>
      </c>
      <c r="F16" s="56" t="s">
        <v>8445</v>
      </c>
      <c r="G16" s="53" t="str">
        <f t="shared" ca="1" si="0"/>
        <v/>
      </c>
      <c r="H16" s="47" t="e">
        <f ca="1">IF(E16=INDIRECT(Main!C9&amp;"!$A" &amp; MATCH(B1,INDIRECT(Main!C9&amp;"!$B:$B"),0)),MATCH(B1,INDIRECT(Main!C9&amp;"!$B:$B"),0),ERROR.TYPE(7))</f>
        <v>#REF!</v>
      </c>
      <c r="I16" s="47" t="str">
        <f ca="1">IF(ISERROR(H16),"",MATCH(B1,INDIRECT(Main!C9&amp;"!$B:$B"),1))</f>
        <v/>
      </c>
      <c r="J16" s="46" t="str">
        <f>IF(COUNTIFS('재무비율 비교'!B:B,$D$1,'재무비율 비교'!D:D,$E16)&gt;0,"V","")</f>
        <v/>
      </c>
    </row>
    <row r="17" spans="5:10" ht="21" hidden="1" customHeight="1">
      <c r="E17" s="52" t="s">
        <v>8384</v>
      </c>
      <c r="F17" s="55" t="s">
        <v>8424</v>
      </c>
      <c r="G17" s="53" t="str">
        <f t="shared" ca="1" si="0"/>
        <v/>
      </c>
      <c r="H17" s="47" t="e">
        <f ca="1">IF(E17=INDIRECT(Main!C8&amp;"!$A" &amp; MATCH(B1,INDIRECT(Main!C8&amp;"!$B:$B"),0)),MATCH(B1,INDIRECT(Main!C8&amp;"!$B:$B"),0),ERROR.TYPE(7))</f>
        <v>#REF!</v>
      </c>
      <c r="I17" s="47" t="str">
        <f ca="1">IF(ISERROR(H17),"",MATCH(B1,INDIRECT(Main!C8&amp;"!$B:$B"),1))</f>
        <v/>
      </c>
      <c r="J17" s="46" t="str">
        <f>IF(COUNTIFS('재무비율 비교'!B:B,$D$1,'재무비율 비교'!D:D,$E17)&gt;0,"V","")</f>
        <v/>
      </c>
    </row>
    <row r="18" spans="5:10" ht="21" hidden="1" customHeight="1">
      <c r="E18" s="52" t="s">
        <v>8390</v>
      </c>
      <c r="F18" s="55" t="s">
        <v>8425</v>
      </c>
      <c r="G18" s="53" t="str">
        <f t="shared" ca="1" si="0"/>
        <v/>
      </c>
      <c r="H18" s="47" t="e">
        <f ca="1">IF(E18=INDIRECT(Main!C9&amp;"!$A" &amp; MATCH(B1,INDIRECT(Main!C9&amp;"!$B:$B"),0)),MATCH(B1,INDIRECT(Main!C9&amp;"!$B:$B"),0),ERROR.TYPE(7))</f>
        <v>#REF!</v>
      </c>
      <c r="I18" s="47" t="str">
        <f ca="1">IF(ISERROR(H18),"",MATCH(B1,INDIRECT(Main!C9&amp;"!$B:$B"),1))</f>
        <v/>
      </c>
      <c r="J18" s="46" t="str">
        <f>IF(COUNTIFS('재무비율 비교'!B:B,$D$1,'재무비율 비교'!D:D,$E18)&gt;0,"V","")</f>
        <v/>
      </c>
    </row>
    <row r="19" spans="5:10" ht="21" hidden="1" customHeight="1">
      <c r="E19" s="52" t="s">
        <v>8385</v>
      </c>
      <c r="F19" s="55" t="s">
        <v>8426</v>
      </c>
      <c r="G19" s="53" t="str">
        <f t="shared" ca="1" si="0"/>
        <v/>
      </c>
      <c r="H19" s="47" t="e">
        <f ca="1">IF(E19=INDIRECT(Main!C8&amp;"!$A" &amp; MATCH(B1,INDIRECT(Main!C8&amp;"!$B:$B"),0)),MATCH(B1,INDIRECT(Main!C8&amp;"!$B:$B"),0),ERROR.TYPE(7))</f>
        <v>#REF!</v>
      </c>
      <c r="I19" s="47" t="str">
        <f ca="1">IF(ISERROR(H19),"",MATCH(B1,INDIRECT(Main!C8&amp;"!$B:$B"),1))</f>
        <v/>
      </c>
      <c r="J19" s="46" t="str">
        <f>IF(COUNTIFS('재무비율 비교'!B:B,$D$1,'재무비율 비교'!D:D,$E19)&gt;0,"V","")</f>
        <v/>
      </c>
    </row>
    <row r="20" spans="5:10" ht="21" hidden="1" customHeight="1">
      <c r="E20" s="52" t="s">
        <v>8392</v>
      </c>
      <c r="F20" s="55" t="s">
        <v>8427</v>
      </c>
      <c r="G20" s="53" t="str">
        <f t="shared" ca="1" si="0"/>
        <v/>
      </c>
      <c r="H20" s="47" t="e">
        <f ca="1">IF(E20=INDIRECT(Main!C9&amp;"!$A" &amp; MATCH(B1,INDIRECT(Main!C9&amp;"!$B:$B"),0)),MATCH(B1,INDIRECT(Main!C9&amp;"!$B:$B"),0),ERROR.TYPE(7))</f>
        <v>#REF!</v>
      </c>
      <c r="I20" s="47" t="str">
        <f ca="1">IF(ISERROR(H20),"",MATCH(B1,INDIRECT(Main!C9&amp;"!$B:$B"),1))</f>
        <v/>
      </c>
      <c r="J20" s="46" t="str">
        <f>IF(COUNTIFS('재무비율 비교'!B:B,$D$1,'재무비율 비교'!D:D,$E20)&gt;0,"V","")</f>
        <v/>
      </c>
    </row>
    <row r="21" spans="5:10" ht="21" hidden="1" customHeight="1">
      <c r="E21" s="52" t="s">
        <v>8386</v>
      </c>
      <c r="F21" s="55" t="s">
        <v>8440</v>
      </c>
      <c r="G21" s="53" t="str">
        <f t="shared" ca="1" si="0"/>
        <v/>
      </c>
      <c r="H21" s="47" t="e">
        <f ca="1">IF(E21=INDIRECT(Main!C8&amp;"!$A" &amp; MATCH(B1,INDIRECT(Main!C8&amp;"!$B:$B"),0)),MATCH(B1,INDIRECT(Main!C8&amp;"!$B:$B"),0),ERROR.TYPE(7))</f>
        <v>#REF!</v>
      </c>
      <c r="I21" s="47" t="str">
        <f ca="1">IF(ISERROR(H21),"",MATCH(B1,INDIRECT(Main!C8&amp;"!$B:$B"),1))</f>
        <v/>
      </c>
      <c r="J21" s="46" t="str">
        <f>IF(COUNTIFS('재무비율 비교'!B:B,$D$1,'재무비율 비교'!D:D,$E21)&gt;0,"V","")</f>
        <v/>
      </c>
    </row>
    <row r="22" spans="5:10" ht="21" customHeight="1">
      <c r="E22" s="48"/>
      <c r="F22" s="54"/>
    </row>
    <row r="23" spans="5:10" ht="21" customHeight="1">
      <c r="E23" s="48"/>
      <c r="F23" s="54"/>
    </row>
    <row r="24" spans="5:10" ht="21" customHeight="1">
      <c r="E24" s="48"/>
      <c r="F24" s="54"/>
    </row>
    <row r="25" spans="5:10" ht="21" customHeight="1">
      <c r="E25" s="48"/>
      <c r="F25" s="54"/>
    </row>
    <row r="26" spans="5:10" ht="21" customHeight="1">
      <c r="E26" s="48"/>
      <c r="F26" s="54"/>
    </row>
    <row r="27" spans="5:10" ht="21" hidden="1" customHeight="1">
      <c r="E27" s="48"/>
      <c r="F27" s="54"/>
    </row>
    <row r="28" spans="5:10" ht="21" customHeight="1">
      <c r="E28" s="48"/>
      <c r="F28" s="54"/>
    </row>
    <row r="30" spans="5:10" ht="21" hidden="1" customHeight="1"/>
    <row r="31" spans="5:10" ht="21" hidden="1" customHeight="1"/>
    <row r="34" ht="21" hidden="1" customHeight="1"/>
  </sheetData>
  <phoneticPr fontId="12" type="noConversion"/>
  <hyperlinks>
    <hyperlink ref="F3" location="'D210005'!A1" display="D210005"/>
    <hyperlink ref="F2" location="'D210000'!A1" display="D210000"/>
    <hyperlink ref="F5" location="'D220005'!A1" display="D220005"/>
    <hyperlink ref="F7" location="'D310005'!A1" display="D310005"/>
    <hyperlink ref="F9" location="'D320005'!A1" display="D320005"/>
    <hyperlink ref="F15" location="'D431415'!A1" display="D431415"/>
    <hyperlink ref="F4" location="'D220000'!A1" display="D220000"/>
    <hyperlink ref="F8" location="'D320000'!A1" display="D320000"/>
    <hyperlink ref="F6" location="'D310000'!A1" display="D310000"/>
    <hyperlink ref="F10" location="'D410000'!A1" display="D410000"/>
    <hyperlink ref="F11" location="'D410005'!A1" display="D410005"/>
    <hyperlink ref="F12" location="'D420000'!A1" display="D420000"/>
    <hyperlink ref="F13" location="'D420005'!A1" display="D420005"/>
    <hyperlink ref="F14" location="'D431410'!A1" display="D431410"/>
    <hyperlink ref="F17" location="'D431425'!A1" display="D431425"/>
    <hyperlink ref="F18" location="'D432410'!A1" display="D432410"/>
    <hyperlink ref="F19" location="'D432415'!A1" display="D432415"/>
    <hyperlink ref="F20" location="'D432420'!A1" display="D432420"/>
    <hyperlink ref="F21" location="'D432425'!A1" display="D432425"/>
    <hyperlink ref="F16" location="'D431420'!A1" display="D431420"/>
    <hyperlink ref="K1" location="'재무비율 비교'!A1" display="재무비율 비교 시트로 이동"/>
  </hyperlink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57697" r:id="rId4" name="ComboBox1">
          <controlPr defaultSize="0" autoLine="0" listFillRange="회사코드!$B$2:$B$2080" r:id="rId5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57697" r:id="rId4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F2"/>
  <sheetViews>
    <sheetView workbookViewId="0"/>
  </sheetViews>
  <sheetFormatPr defaultRowHeight="16.5"/>
  <cols>
    <col min="1" max="1" width="13.5" customWidth="1"/>
    <col min="2" max="2" width="16.125" customWidth="1"/>
    <col min="3" max="3" width="13.125" style="23" customWidth="1"/>
    <col min="4" max="4" width="78.25" customWidth="1"/>
    <col min="5" max="5" width="26" customWidth="1"/>
    <col min="6" max="6" width="13" style="61" bestFit="1" customWidth="1"/>
  </cols>
  <sheetData>
    <row r="1" spans="1:6" s="23" customFormat="1" ht="18" customHeight="1">
      <c r="A1" s="35" t="s">
        <v>8819</v>
      </c>
      <c r="F1" s="61"/>
    </row>
    <row r="2" spans="1:6" ht="24.75" customHeight="1">
      <c r="A2" s="11" t="s">
        <v>5313</v>
      </c>
      <c r="B2" s="11" t="s">
        <v>5309</v>
      </c>
      <c r="C2" s="11" t="s">
        <v>8817</v>
      </c>
      <c r="D2" s="11" t="s">
        <v>5325</v>
      </c>
      <c r="E2" s="11" t="s">
        <v>5308</v>
      </c>
      <c r="F2" s="11" t="s">
        <v>8820</v>
      </c>
    </row>
  </sheetData>
  <autoFilter ref="A2:F2"/>
  <phoneticPr fontId="12" type="noConversion"/>
  <hyperlinks>
    <hyperlink ref="A1" location="총괄!A1" display="재무비율 비교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6369" r:id="rId3" name="CommandButton1">
          <controlPr defaultSize="0" autoLine="0" r:id="rId4">
            <anchor moveWithCells="1">
              <from>
                <xdr:col>6</xdr:col>
                <xdr:colOff>219075</xdr:colOff>
                <xdr:row>0</xdr:row>
                <xdr:rowOff>209550</xdr:rowOff>
              </from>
              <to>
                <xdr:col>7</xdr:col>
                <xdr:colOff>409575</xdr:colOff>
                <xdr:row>1</xdr:row>
                <xdr:rowOff>304800</xdr:rowOff>
              </to>
            </anchor>
          </controlPr>
        </control>
      </mc:Choice>
      <mc:Fallback>
        <control shapeId="186369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8"/>
  <sheetViews>
    <sheetView workbookViewId="0">
      <selection activeCell="A2" sqref="A2"/>
    </sheetView>
  </sheetViews>
  <sheetFormatPr defaultRowHeight="16.5"/>
  <cols>
    <col min="1" max="1" width="21.25" customWidth="1"/>
    <col min="2" max="2" width="21.25" style="23" customWidth="1"/>
    <col min="3" max="3" width="27.75" customWidth="1"/>
    <col min="4" max="4" width="50" customWidth="1"/>
    <col min="5" max="5" width="5" customWidth="1"/>
    <col min="6" max="8" width="25" customWidth="1"/>
  </cols>
  <sheetData>
    <row r="1" spans="1:8">
      <c r="A1" s="35" t="s">
        <v>8393</v>
      </c>
      <c r="D1" s="23"/>
      <c r="H1" s="2" t="s">
        <v>8</v>
      </c>
    </row>
    <row r="2" spans="1:8">
      <c r="A2" s="11" t="s">
        <v>8394</v>
      </c>
      <c r="B2" s="11" t="s">
        <v>8395</v>
      </c>
      <c r="C2" s="6" t="s">
        <v>4</v>
      </c>
      <c r="D2" s="6" t="s">
        <v>5</v>
      </c>
      <c r="E2" s="6" t="s">
        <v>6</v>
      </c>
      <c r="F2" s="6"/>
      <c r="G2" s="6"/>
      <c r="H2" s="6"/>
    </row>
    <row r="3" spans="1:8" ht="24">
      <c r="A3" s="13" t="str">
        <f>총괄!B1</f>
        <v>[000140]</v>
      </c>
      <c r="B3" s="12" t="str">
        <f>총괄!D1</f>
        <v>하이트진로홀딩스</v>
      </c>
      <c r="C3" s="6"/>
      <c r="D3" s="6"/>
      <c r="E3" s="6"/>
      <c r="F3" s="7" t="s">
        <v>0</v>
      </c>
      <c r="G3" s="7" t="s">
        <v>2</v>
      </c>
      <c r="H3" s="7" t="s">
        <v>3</v>
      </c>
    </row>
    <row r="4" spans="1:8">
      <c r="A4" s="36" t="e">
        <f ca="1">총괄!H2</f>
        <v>#REF!</v>
      </c>
      <c r="B4" s="36" t="str">
        <f ca="1">총괄!I2</f>
        <v/>
      </c>
      <c r="C4" s="4" t="s">
        <v>8825</v>
      </c>
      <c r="D4" s="5" t="s">
        <v>9</v>
      </c>
      <c r="E4" s="8"/>
      <c r="F4" s="9" t="s">
        <v>1</v>
      </c>
      <c r="G4" s="9" t="s">
        <v>1</v>
      </c>
      <c r="H4" s="9" t="s">
        <v>1</v>
      </c>
    </row>
    <row r="5" spans="1:8">
      <c r="A5" s="63" t="s">
        <v>8396</v>
      </c>
      <c r="B5" s="64"/>
      <c r="C5" s="4" t="s">
        <v>8826</v>
      </c>
      <c r="D5" s="5" t="s">
        <v>13</v>
      </c>
      <c r="E5" s="3" t="s">
        <v>11</v>
      </c>
      <c r="F5" s="14" t="e">
        <f t="array" aca="1" ref="F5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#REF!</v>
      </c>
      <c r="G5" s="14" t="e">
        <f t="array" aca="1" ref="G5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#REF!</v>
      </c>
      <c r="H5" s="14" t="e">
        <f t="array" aca="1" ref="H5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#REF!</v>
      </c>
    </row>
    <row r="6" spans="1:8">
      <c r="A6" s="12" t="s">
        <v>8397</v>
      </c>
      <c r="B6" s="30" t="e">
        <f ca="1">+F5/F9</f>
        <v>#REF!</v>
      </c>
      <c r="C6" s="4" t="s">
        <v>8827</v>
      </c>
      <c r="D6" s="5" t="s">
        <v>10</v>
      </c>
      <c r="E6" s="3" t="s">
        <v>11</v>
      </c>
      <c r="F6" s="14" t="e">
        <f t="array" aca="1" ref="F6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$B$4),"ifrs_","ifrs-full_")=$C6),0))</f>
        <v>#REF!</v>
      </c>
      <c r="G6" s="14" t="e">
        <f t="array" aca="1" ref="G6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$B$4),"ifrs_","ifrs-full_")=$C6),0))</f>
        <v>#REF!</v>
      </c>
      <c r="H6" s="14" t="e">
        <f t="array" aca="1" ref="H6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$B$4),"ifrs_","ifrs-full_")=$C6),0))</f>
        <v>#REF!</v>
      </c>
    </row>
    <row r="7" spans="1:8">
      <c r="A7" s="12" t="s">
        <v>8398</v>
      </c>
      <c r="B7" s="30" t="e">
        <f ca="1">+F11/F17</f>
        <v>#REF!</v>
      </c>
      <c r="C7" s="4" t="s">
        <v>8828</v>
      </c>
      <c r="D7" s="5" t="s">
        <v>14</v>
      </c>
      <c r="E7" s="3"/>
      <c r="F7" s="14" t="e">
        <f t="array" aca="1" ref="F7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#REF!</v>
      </c>
      <c r="G7" s="14" t="e">
        <f t="array" aca="1" ref="G7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#REF!</v>
      </c>
      <c r="H7" s="14" t="e">
        <f t="array" aca="1" ref="H7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#REF!</v>
      </c>
    </row>
    <row r="8" spans="1:8">
      <c r="A8" s="12" t="s">
        <v>8399</v>
      </c>
      <c r="B8" s="30" t="e">
        <f ca="1">(F7-G7)/G7</f>
        <v>#REF!</v>
      </c>
      <c r="C8" s="4" t="s">
        <v>8829</v>
      </c>
      <c r="D8" s="5" t="s">
        <v>18</v>
      </c>
      <c r="E8" s="8"/>
      <c r="F8" s="14" t="e">
        <f t="array" aca="1" ref="F8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$B$4),"ifrs_","ifrs-full_")=$C8),0))</f>
        <v>#REF!</v>
      </c>
      <c r="G8" s="14" t="e">
        <f t="array" aca="1" ref="G8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$B$4),"ifrs_","ifrs-full_")=$C8),0))</f>
        <v>#REF!</v>
      </c>
      <c r="H8" s="14" t="e">
        <f t="array" aca="1" ref="H8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$B$4),"ifrs_","ifrs-full_")=$C8),0))</f>
        <v>#REF!</v>
      </c>
    </row>
    <row r="9" spans="1:8">
      <c r="A9" s="12" t="s">
        <v>8400</v>
      </c>
      <c r="B9" s="30" t="e">
        <f ca="1">(F5-G5)/G5</f>
        <v>#REF!</v>
      </c>
      <c r="C9" s="4" t="s">
        <v>8830</v>
      </c>
      <c r="D9" s="5" t="s">
        <v>20</v>
      </c>
      <c r="E9" s="3" t="s">
        <v>11</v>
      </c>
      <c r="F9" s="14" t="e">
        <f t="array" aca="1" ref="F9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#REF!</v>
      </c>
      <c r="G9" s="14" t="e">
        <f t="array" aca="1" ref="G9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#REF!</v>
      </c>
      <c r="H9" s="14" t="e">
        <f t="array" aca="1" ref="H9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#REF!</v>
      </c>
    </row>
    <row r="10" spans="1:8">
      <c r="A10" s="12" t="s">
        <v>5321</v>
      </c>
      <c r="B10" s="30" t="e">
        <f ca="1">(F6-G6)/G6</f>
        <v>#REF!</v>
      </c>
      <c r="C10" s="4" t="s">
        <v>8831</v>
      </c>
      <c r="D10" s="5" t="s">
        <v>19</v>
      </c>
      <c r="E10" s="3" t="s">
        <v>11</v>
      </c>
      <c r="F10" s="14" t="e">
        <f t="array" aca="1" ref="F10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#REF!</v>
      </c>
      <c r="G10" s="14" t="e">
        <f t="array" aca="1" ref="G10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#REF!</v>
      </c>
      <c r="H10" s="14" t="e">
        <f t="array" aca="1" ref="H10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#REF!</v>
      </c>
    </row>
    <row r="11" spans="1:8">
      <c r="A11" s="12" t="s">
        <v>8401</v>
      </c>
      <c r="B11" s="30" t="e">
        <f ca="1">(F9-G9)/G9</f>
        <v>#REF!</v>
      </c>
      <c r="C11" s="4" t="s">
        <v>8832</v>
      </c>
      <c r="D11" s="5" t="s">
        <v>21</v>
      </c>
      <c r="E11" s="3" t="s">
        <v>11</v>
      </c>
      <c r="F11" s="14" t="e">
        <f t="array" aca="1" ref="F11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#REF!</v>
      </c>
      <c r="G11" s="14" t="e">
        <f t="array" aca="1" ref="G11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#REF!</v>
      </c>
      <c r="H11" s="14" t="e">
        <f t="array" aca="1" ref="H11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#REF!</v>
      </c>
    </row>
    <row r="12" spans="1:8">
      <c r="A12" s="12" t="s">
        <v>5323</v>
      </c>
      <c r="B12" s="30" t="e">
        <f ca="1">(F10-G10)/G10</f>
        <v>#REF!</v>
      </c>
      <c r="C12" s="4" t="s">
        <v>8833</v>
      </c>
      <c r="D12" s="5" t="s">
        <v>15</v>
      </c>
      <c r="E12" s="8"/>
      <c r="F12" s="14" t="e">
        <f t="array" aca="1" ref="F12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$B$4),"ifrs_","ifrs-full_")=$C12),0))</f>
        <v>#REF!</v>
      </c>
      <c r="G12" s="14" t="e">
        <f t="array" aca="1" ref="G12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$B$4),"ifrs_","ifrs-full_")=$C12),0))</f>
        <v>#REF!</v>
      </c>
      <c r="H12" s="14" t="e">
        <f t="array" aca="1" ref="H12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$B$4),"ifrs_","ifrs-full_")=$C12),0))</f>
        <v>#REF!</v>
      </c>
    </row>
    <row r="13" spans="1:8">
      <c r="A13" s="12" t="s">
        <v>8402</v>
      </c>
      <c r="B13" s="30" t="e">
        <f ca="1">(F17-G17)/G17</f>
        <v>#REF!</v>
      </c>
      <c r="C13" s="4" t="s">
        <v>8834</v>
      </c>
      <c r="D13" s="37" t="s">
        <v>8822</v>
      </c>
      <c r="E13" s="3" t="s">
        <v>11</v>
      </c>
      <c r="F13" s="14" t="e">
        <f t="array" aca="1" ref="F13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#REF!</v>
      </c>
      <c r="G13" s="14" t="e">
        <f t="array" aca="1" ref="G13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#REF!</v>
      </c>
      <c r="H13" s="14" t="e">
        <f t="array" aca="1" ref="H13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#REF!</v>
      </c>
    </row>
    <row r="14" spans="1:8">
      <c r="A14" s="23"/>
      <c r="C14" s="4" t="s">
        <v>8835</v>
      </c>
      <c r="D14" s="37" t="s">
        <v>8823</v>
      </c>
      <c r="E14" s="3" t="s">
        <v>11</v>
      </c>
      <c r="F14" s="14" t="e">
        <f t="array" aca="1" ref="F14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$B$4),"ifrs_","ifrs-full_")=$C14),0))</f>
        <v>#REF!</v>
      </c>
      <c r="G14" s="14" t="e">
        <f t="array" aca="1" ref="G14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$B$4),"ifrs_","ifrs-full_")=$C14),0))</f>
        <v>#REF!</v>
      </c>
      <c r="H14" s="14" t="e">
        <f t="array" aca="1" ref="H14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$B$4),"ifrs_","ifrs-full_")=$C14),0))</f>
        <v>#REF!</v>
      </c>
    </row>
    <row r="15" spans="1:8">
      <c r="A15" s="23"/>
      <c r="C15" s="4" t="s">
        <v>8836</v>
      </c>
      <c r="D15" s="37" t="s">
        <v>8824</v>
      </c>
      <c r="E15" s="3" t="s">
        <v>11</v>
      </c>
      <c r="F15" s="14" t="e">
        <f t="array" aca="1" ref="F15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$B$4),"ifrs_","ifrs-full_")=$C15),0))</f>
        <v>#REF!</v>
      </c>
      <c r="G15" s="14" t="e">
        <f t="array" aca="1" ref="G15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$B$4),"ifrs_","ifrs-full_")=$C15),0))</f>
        <v>#REF!</v>
      </c>
      <c r="H15" s="14" t="e">
        <f t="array" aca="1" ref="H15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$B$4),"ifrs_","ifrs-full_")=$C15),0))</f>
        <v>#REF!</v>
      </c>
    </row>
    <row r="16" spans="1:8">
      <c r="A16" s="23"/>
      <c r="C16" s="4" t="s">
        <v>8837</v>
      </c>
      <c r="D16" s="5" t="s">
        <v>16</v>
      </c>
      <c r="E16" s="3" t="s">
        <v>11</v>
      </c>
      <c r="F16" s="14" t="e">
        <f t="array" aca="1" ref="F16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$B$4),"ifrs_","ifrs-full_")=$C16),0))</f>
        <v>#REF!</v>
      </c>
      <c r="G16" s="14" t="e">
        <f t="array" aca="1" ref="G16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$B$4),"ifrs_","ifrs-full_")=$C16),0))</f>
        <v>#REF!</v>
      </c>
      <c r="H16" s="14" t="e">
        <f t="array" aca="1" ref="H16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$B$4),"ifrs_","ifrs-full_")=$C16),0))</f>
        <v>#REF!</v>
      </c>
    </row>
    <row r="17" spans="1:8">
      <c r="A17" s="23"/>
      <c r="C17" s="4" t="s">
        <v>8838</v>
      </c>
      <c r="D17" s="5" t="s">
        <v>17</v>
      </c>
      <c r="E17" s="3" t="s">
        <v>11</v>
      </c>
      <c r="F17" s="14" t="e">
        <f t="array" aca="1" ref="F17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$B$4),"ifrs_","ifrs-full_")=$C17),0))</f>
        <v>#REF!</v>
      </c>
      <c r="G17" s="14" t="e">
        <f t="array" aca="1" ref="G17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$B$4),"ifrs_","ifrs-full_")=$C17),0))</f>
        <v>#REF!</v>
      </c>
      <c r="H17" s="14" t="e">
        <f t="array" aca="1" ref="H17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$B$4),"ifrs_","ifrs-full_")=$C17),0))</f>
        <v>#REF!</v>
      </c>
    </row>
    <row r="18" spans="1:8">
      <c r="A18" s="23"/>
      <c r="C18" s="4" t="s">
        <v>8839</v>
      </c>
      <c r="D18" s="5" t="s">
        <v>22</v>
      </c>
      <c r="E18" s="3"/>
      <c r="F18" s="14" t="e">
        <f t="array" aca="1" ref="F18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$B$4),"ifrs_","ifrs-full_")=$C18),0))</f>
        <v>#REF!</v>
      </c>
      <c r="G18" s="14" t="e">
        <f t="array" aca="1" ref="G18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$B$4),"ifrs_","ifrs-full_")=$C18),0))</f>
        <v>#REF!</v>
      </c>
      <c r="H18" s="14" t="e">
        <f t="array" aca="1" ref="H18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$B$4),"ifrs_","ifrs-full_")=$C18),0))</f>
        <v>#REF!</v>
      </c>
    </row>
  </sheetData>
  <mergeCells count="1">
    <mergeCell ref="A5:B5"/>
  </mergeCells>
  <phoneticPr fontId="12" type="noConversion"/>
  <hyperlinks>
    <hyperlink ref="A1" location="총괄!A1" display="재무상태표, 유동/비유동법-연결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86" r:id="rId3" name="ComboBox1">
          <controlPr defaultSize="0" autoLine="0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286" r:id="rId3" name="Combo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9"/>
  <sheetViews>
    <sheetView zoomScaleNormal="100" workbookViewId="0">
      <selection activeCell="A2" sqref="A2"/>
    </sheetView>
  </sheetViews>
  <sheetFormatPr defaultRowHeight="16.5"/>
  <cols>
    <col min="1" max="2" width="22.125" customWidth="1"/>
    <col min="3" max="3" width="35.625" customWidth="1"/>
    <col min="4" max="4" width="43.25" customWidth="1"/>
    <col min="5" max="5" width="5.25" style="23" customWidth="1"/>
    <col min="6" max="8" width="25" customWidth="1"/>
  </cols>
  <sheetData>
    <row r="1" spans="1:8">
      <c r="A1" s="35" t="s">
        <v>5310</v>
      </c>
      <c r="B1" s="1"/>
      <c r="H1" s="2" t="s">
        <v>8</v>
      </c>
    </row>
    <row r="2" spans="1:8">
      <c r="A2" s="11" t="s">
        <v>8428</v>
      </c>
      <c r="B2" s="11" t="s">
        <v>8429</v>
      </c>
      <c r="C2" s="6" t="s">
        <v>5311</v>
      </c>
      <c r="D2" s="6" t="s">
        <v>5312</v>
      </c>
      <c r="E2" s="6" t="s">
        <v>6</v>
      </c>
      <c r="F2" s="6" t="s">
        <v>23</v>
      </c>
      <c r="G2" s="6"/>
      <c r="H2" s="6"/>
    </row>
    <row r="3" spans="1:8" ht="24">
      <c r="A3" s="13" t="str">
        <f>총괄!B1</f>
        <v>[000140]</v>
      </c>
      <c r="B3" s="12" t="str">
        <f>총괄!D1</f>
        <v>하이트진로홀딩스</v>
      </c>
      <c r="C3" s="10"/>
      <c r="D3" s="6"/>
      <c r="E3" s="6"/>
      <c r="F3" s="7" t="s">
        <v>0</v>
      </c>
      <c r="G3" s="7" t="s">
        <v>2</v>
      </c>
      <c r="H3" s="7" t="s">
        <v>3</v>
      </c>
    </row>
    <row r="4" spans="1:8">
      <c r="A4" s="36" t="e">
        <f ca="1">총괄!H3</f>
        <v>#REF!</v>
      </c>
      <c r="B4" s="36" t="str">
        <f ca="1">총괄!I3</f>
        <v/>
      </c>
      <c r="C4" s="4" t="s">
        <v>8825</v>
      </c>
      <c r="D4" s="5" t="s">
        <v>9</v>
      </c>
      <c r="E4" s="8"/>
      <c r="F4" s="9" t="s">
        <v>1</v>
      </c>
      <c r="G4" s="9" t="s">
        <v>1</v>
      </c>
      <c r="H4" s="9" t="s">
        <v>1</v>
      </c>
    </row>
    <row r="5" spans="1:8">
      <c r="A5" s="65" t="s">
        <v>5316</v>
      </c>
      <c r="B5" s="66"/>
      <c r="C5" s="4" t="s">
        <v>8826</v>
      </c>
      <c r="D5" s="5" t="s">
        <v>13</v>
      </c>
      <c r="E5" s="3" t="s">
        <v>11</v>
      </c>
      <c r="F5" s="14" t="e">
        <f t="array" aca="1" ref="F5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#REF!</v>
      </c>
      <c r="G5" s="14" t="e">
        <f t="array" aca="1" ref="G5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#REF!</v>
      </c>
      <c r="H5" s="14" t="e">
        <f t="array" aca="1" ref="H5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#REF!</v>
      </c>
    </row>
    <row r="6" spans="1:8">
      <c r="A6" s="24" t="s">
        <v>5317</v>
      </c>
      <c r="B6" s="26" t="e">
        <f ca="1">+F5/F9</f>
        <v>#REF!</v>
      </c>
      <c r="C6" s="4" t="s">
        <v>8827</v>
      </c>
      <c r="D6" s="5" t="s">
        <v>10</v>
      </c>
      <c r="E6" s="3" t="s">
        <v>11</v>
      </c>
      <c r="F6" s="14" t="e">
        <f t="array" aca="1" ref="F6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$B$4),"ifrs_","ifrs-full_")=$C6),0))</f>
        <v>#REF!</v>
      </c>
      <c r="G6" s="14" t="e">
        <f t="array" aca="1" ref="G6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$B$4),"ifrs_","ifrs-full_")=$C6),0))</f>
        <v>#REF!</v>
      </c>
      <c r="H6" s="14" t="e">
        <f t="array" aca="1" ref="H6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$B$4),"ifrs_","ifrs-full_")=$C6),0))</f>
        <v>#REF!</v>
      </c>
    </row>
    <row r="7" spans="1:8">
      <c r="A7" s="24" t="s">
        <v>5318</v>
      </c>
      <c r="B7" s="26" t="e">
        <f ca="1">F11/F15</f>
        <v>#REF!</v>
      </c>
      <c r="C7" s="4" t="s">
        <v>8828</v>
      </c>
      <c r="D7" s="5" t="s">
        <v>14</v>
      </c>
      <c r="E7" s="3"/>
      <c r="F7" s="14" t="e">
        <f t="array" aca="1" ref="F7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#REF!</v>
      </c>
      <c r="G7" s="14" t="e">
        <f t="array" aca="1" ref="G7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#REF!</v>
      </c>
      <c r="H7" s="14" t="e">
        <f t="array" aca="1" ref="H7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#REF!</v>
      </c>
    </row>
    <row r="8" spans="1:8">
      <c r="A8" s="24" t="s">
        <v>5319</v>
      </c>
      <c r="B8" s="26" t="e">
        <f ca="1">(F7-G7)/G7</f>
        <v>#REF!</v>
      </c>
      <c r="C8" s="4" t="s">
        <v>8829</v>
      </c>
      <c r="D8" s="5" t="s">
        <v>18</v>
      </c>
      <c r="E8" s="8"/>
      <c r="F8" s="14" t="e">
        <f t="array" aca="1" ref="F8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$B$4),"ifrs_","ifrs-full_")=$C8),0))</f>
        <v>#REF!</v>
      </c>
      <c r="G8" s="14" t="e">
        <f t="array" aca="1" ref="G8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$B$4),"ifrs_","ifrs-full_")=$C8),0))</f>
        <v>#REF!</v>
      </c>
      <c r="H8" s="14" t="e">
        <f t="array" aca="1" ref="H8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$B$4),"ifrs_","ifrs-full_")=$C8),0))</f>
        <v>#REF!</v>
      </c>
    </row>
    <row r="9" spans="1:8">
      <c r="A9" s="24" t="s">
        <v>5320</v>
      </c>
      <c r="B9" s="26" t="e">
        <f ca="1">(F5-G5)/G5</f>
        <v>#REF!</v>
      </c>
      <c r="C9" s="4" t="s">
        <v>8830</v>
      </c>
      <c r="D9" s="5" t="s">
        <v>20</v>
      </c>
      <c r="E9" s="3" t="s">
        <v>11</v>
      </c>
      <c r="F9" s="14" t="e">
        <f t="array" aca="1" ref="F9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#REF!</v>
      </c>
      <c r="G9" s="14" t="e">
        <f t="array" aca="1" ref="G9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#REF!</v>
      </c>
      <c r="H9" s="14" t="e">
        <f t="array" aca="1" ref="H9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#REF!</v>
      </c>
    </row>
    <row r="10" spans="1:8">
      <c r="A10" s="25" t="s">
        <v>5321</v>
      </c>
      <c r="B10" s="26" t="e">
        <f ca="1">(F6-G6)/G6</f>
        <v>#REF!</v>
      </c>
      <c r="C10" s="4" t="s">
        <v>8831</v>
      </c>
      <c r="D10" s="5" t="s">
        <v>19</v>
      </c>
      <c r="E10" s="3" t="s">
        <v>11</v>
      </c>
      <c r="F10" s="14" t="e">
        <f t="array" aca="1" ref="F10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#REF!</v>
      </c>
      <c r="G10" s="14" t="e">
        <f t="array" aca="1" ref="G10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#REF!</v>
      </c>
      <c r="H10" s="14" t="e">
        <f t="array" aca="1" ref="H10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#REF!</v>
      </c>
    </row>
    <row r="11" spans="1:8">
      <c r="A11" s="24" t="s">
        <v>5322</v>
      </c>
      <c r="B11" s="27" t="e">
        <f ca="1">(F9-G9)/G9</f>
        <v>#REF!</v>
      </c>
      <c r="C11" s="4" t="s">
        <v>8832</v>
      </c>
      <c r="D11" s="5" t="s">
        <v>21</v>
      </c>
      <c r="E11" s="3" t="s">
        <v>11</v>
      </c>
      <c r="F11" s="14" t="e">
        <f t="array" aca="1" ref="F11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#REF!</v>
      </c>
      <c r="G11" s="14" t="e">
        <f t="array" aca="1" ref="G11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#REF!</v>
      </c>
      <c r="H11" s="14" t="e">
        <f t="array" aca="1" ref="H11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#REF!</v>
      </c>
    </row>
    <row r="12" spans="1:8">
      <c r="A12" s="24" t="s">
        <v>5323</v>
      </c>
      <c r="B12" s="27" t="e">
        <f ca="1">(F10-G10)/G10</f>
        <v>#REF!</v>
      </c>
      <c r="C12" s="4" t="s">
        <v>8833</v>
      </c>
      <c r="D12" s="5" t="s">
        <v>15</v>
      </c>
      <c r="E12" s="8"/>
      <c r="F12" s="14" t="e">
        <f t="array" aca="1" ref="F12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$B$4),"ifrs_","ifrs-full_")=$C12),0))</f>
        <v>#REF!</v>
      </c>
      <c r="G12" s="14" t="e">
        <f t="array" aca="1" ref="G12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$B$4),"ifrs_","ifrs-full_")=$C12),0))</f>
        <v>#REF!</v>
      </c>
      <c r="H12" s="14" t="e">
        <f t="array" aca="1" ref="H12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$B$4),"ifrs_","ifrs-full_")=$C12),0))</f>
        <v>#REF!</v>
      </c>
    </row>
    <row r="13" spans="1:8">
      <c r="A13" s="24" t="s">
        <v>5324</v>
      </c>
      <c r="B13" s="27" t="e">
        <f ca="1">(F15-G15)/G15</f>
        <v>#REF!</v>
      </c>
      <c r="C13" s="4" t="s">
        <v>8834</v>
      </c>
      <c r="D13" s="37" t="s">
        <v>8840</v>
      </c>
      <c r="E13" s="3" t="s">
        <v>11</v>
      </c>
      <c r="F13" s="14" t="e">
        <f t="array" aca="1" ref="F13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#REF!</v>
      </c>
      <c r="G13" s="14" t="e">
        <f t="array" aca="1" ref="G13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#REF!</v>
      </c>
      <c r="H13" s="14" t="e">
        <f t="array" aca="1" ref="H13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#REF!</v>
      </c>
    </row>
    <row r="14" spans="1:8">
      <c r="C14" s="4" t="s">
        <v>8835</v>
      </c>
      <c r="D14" s="37" t="s">
        <v>8841</v>
      </c>
      <c r="E14" s="3" t="s">
        <v>11</v>
      </c>
      <c r="F14" s="14" t="e">
        <f t="array" aca="1" ref="F14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$B$4),"ifrs_","ifrs-full_")=$C14),0))</f>
        <v>#REF!</v>
      </c>
      <c r="G14" s="14" t="e">
        <f t="array" aca="1" ref="G14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$B$4),"ifrs_","ifrs-full_")=$C14),0))</f>
        <v>#REF!</v>
      </c>
      <c r="H14" s="14" t="e">
        <f t="array" aca="1" ref="H14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$B$4),"ifrs_","ifrs-full_")=$C14),0))</f>
        <v>#REF!</v>
      </c>
    </row>
    <row r="15" spans="1:8">
      <c r="A15" s="22"/>
      <c r="B15" s="22"/>
      <c r="C15" s="4" t="s">
        <v>8838</v>
      </c>
      <c r="D15" s="5" t="s">
        <v>17</v>
      </c>
      <c r="E15" s="3" t="s">
        <v>11</v>
      </c>
      <c r="F15" s="14" t="e">
        <f t="array" aca="1" ref="F15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$B$4),"ifrs_","ifrs-full_")=$C15),0))</f>
        <v>#REF!</v>
      </c>
      <c r="G15" s="14" t="e">
        <f t="array" aca="1" ref="G15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$B$4),"ifrs_","ifrs-full_")=$C15),0))</f>
        <v>#REF!</v>
      </c>
      <c r="H15" s="14" t="e">
        <f t="array" aca="1" ref="H15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$B$4),"ifrs_","ifrs-full_")=$C15),0))</f>
        <v>#REF!</v>
      </c>
    </row>
    <row r="16" spans="1:8">
      <c r="C16" s="4" t="s">
        <v>8839</v>
      </c>
      <c r="D16" s="5" t="s">
        <v>22</v>
      </c>
      <c r="E16" s="3"/>
      <c r="F16" s="14" t="e">
        <f t="array" aca="1" ref="F16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$B$4),"ifrs_","ifrs-full_")=$C16),0))</f>
        <v>#REF!</v>
      </c>
      <c r="G16" s="14" t="e">
        <f t="array" aca="1" ref="G16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$B$4),"ifrs_","ifrs-full_")=$C16),0))</f>
        <v>#REF!</v>
      </c>
      <c r="H16" s="14" t="e">
        <f t="array" aca="1" ref="H16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$B$4),"ifrs_","ifrs-full_")=$C16),0))</f>
        <v>#REF!</v>
      </c>
    </row>
    <row r="17" spans="1:5">
      <c r="E17"/>
    </row>
    <row r="18" spans="1:5">
      <c r="A18" s="22"/>
      <c r="E18"/>
    </row>
    <row r="19" spans="1:5">
      <c r="A19" s="22"/>
    </row>
  </sheetData>
  <mergeCells count="1">
    <mergeCell ref="A5:B5"/>
  </mergeCells>
  <phoneticPr fontId="12" type="noConversion"/>
  <hyperlinks>
    <hyperlink ref="A1" location="총괄!A1" display="재무상태표, 유동/비유동법-별도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12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312" r:id="rId3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H13"/>
  <sheetViews>
    <sheetView workbookViewId="0">
      <selection activeCell="A2" sqref="A2"/>
    </sheetView>
  </sheetViews>
  <sheetFormatPr defaultRowHeight="16.5"/>
  <cols>
    <col min="1" max="1" width="20.125" style="23" customWidth="1"/>
    <col min="2" max="2" width="19.875" style="23" customWidth="1"/>
    <col min="3" max="3" width="20" customWidth="1"/>
    <col min="4" max="4" width="50" customWidth="1"/>
    <col min="5" max="5" width="5" customWidth="1"/>
    <col min="6" max="8" width="25" customWidth="1"/>
  </cols>
  <sheetData>
    <row r="1" spans="1:8">
      <c r="A1" s="35" t="s">
        <v>8413</v>
      </c>
      <c r="H1" s="2" t="s">
        <v>8</v>
      </c>
    </row>
    <row r="2" spans="1:8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</row>
    <row r="3" spans="1:8" ht="24">
      <c r="A3" s="13" t="str">
        <f>총괄!B1</f>
        <v>[000140]</v>
      </c>
      <c r="B3" s="12" t="str">
        <f>총괄!D1</f>
        <v>하이트진로홀딩스</v>
      </c>
      <c r="C3" s="10"/>
      <c r="D3" s="6"/>
      <c r="E3" s="6"/>
      <c r="F3" s="7" t="s">
        <v>0</v>
      </c>
      <c r="G3" s="7" t="s">
        <v>2</v>
      </c>
      <c r="H3" s="7" t="s">
        <v>3</v>
      </c>
    </row>
    <row r="4" spans="1:8">
      <c r="A4" s="36" t="e">
        <f ca="1">총괄!H4</f>
        <v>#REF!</v>
      </c>
      <c r="B4" s="36" t="str">
        <f ca="1">총괄!I4</f>
        <v/>
      </c>
      <c r="C4" s="4" t="s">
        <v>8825</v>
      </c>
      <c r="D4" s="5" t="s">
        <v>9</v>
      </c>
      <c r="E4" s="8"/>
      <c r="F4" s="9" t="s">
        <v>1</v>
      </c>
      <c r="G4" s="9" t="s">
        <v>1</v>
      </c>
      <c r="H4" s="9" t="s">
        <v>1</v>
      </c>
    </row>
    <row r="5" spans="1:8">
      <c r="A5" s="65" t="s">
        <v>8431</v>
      </c>
      <c r="B5" s="66"/>
      <c r="C5" s="4" t="s">
        <v>8828</v>
      </c>
      <c r="D5" s="5" t="s">
        <v>14</v>
      </c>
      <c r="E5" s="3"/>
      <c r="F5" s="14" t="e">
        <f t="array" aca="1" ref="F5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#REF!</v>
      </c>
      <c r="G5" s="14" t="e">
        <f t="array" aca="1" ref="G5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#REF!</v>
      </c>
      <c r="H5" s="14" t="e">
        <f t="array" aca="1" ref="H5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$B$4),"ifrs_","ifrs-full_")=$C5),0))</f>
        <v>#REF!</v>
      </c>
    </row>
    <row r="6" spans="1:8">
      <c r="A6" s="12" t="s">
        <v>8432</v>
      </c>
      <c r="B6" s="30" t="e">
        <f ca="1">(F5-G5)/G5</f>
        <v>#REF!</v>
      </c>
      <c r="C6" s="4" t="s">
        <v>8829</v>
      </c>
      <c r="D6" s="5" t="s">
        <v>18</v>
      </c>
      <c r="E6" s="8"/>
      <c r="F6" s="14" t="e">
        <f t="array" aca="1" ref="F6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$B$4),"ifrs_","ifrs-full_")=$C6),0))</f>
        <v>#REF!</v>
      </c>
      <c r="G6" s="14" t="e">
        <f t="array" aca="1" ref="G6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$B$4),"ifrs_","ifrs-full_")=$C6),0))</f>
        <v>#REF!</v>
      </c>
      <c r="H6" s="14" t="e">
        <f t="array" aca="1" ref="H6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$B$4),"ifrs_","ifrs-full_")=$C6),0))</f>
        <v>#REF!</v>
      </c>
    </row>
    <row r="7" spans="1:8">
      <c r="A7" s="12" t="s">
        <v>8446</v>
      </c>
      <c r="B7" s="30" t="e">
        <f ca="1">(F7-G7)/G7</f>
        <v>#REF!</v>
      </c>
      <c r="C7" s="4" t="s">
        <v>8832</v>
      </c>
      <c r="D7" s="5" t="s">
        <v>21</v>
      </c>
      <c r="E7" s="3" t="s">
        <v>11</v>
      </c>
      <c r="F7" s="14" t="e">
        <f t="array" aca="1" ref="F7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#REF!</v>
      </c>
      <c r="G7" s="14" t="e">
        <f t="array" aca="1" ref="G7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#REF!</v>
      </c>
      <c r="H7" s="14" t="e">
        <f t="array" aca="1" ref="H7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$B$4),"ifrs_","ifrs-full_")=$C7),0))</f>
        <v>#REF!</v>
      </c>
    </row>
    <row r="8" spans="1:8">
      <c r="A8" s="12" t="s">
        <v>8433</v>
      </c>
      <c r="B8" s="30" t="e">
        <f ca="1">(F12-G12)/G12</f>
        <v>#REF!</v>
      </c>
      <c r="C8" s="4" t="s">
        <v>8833</v>
      </c>
      <c r="D8" s="5" t="s">
        <v>15</v>
      </c>
      <c r="E8" s="8"/>
      <c r="F8" s="14" t="e">
        <f t="array" aca="1" ref="F8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$B$4),"ifrs_","ifrs-full_")=$C8),0))</f>
        <v>#REF!</v>
      </c>
      <c r="G8" s="14" t="e">
        <f t="array" aca="1" ref="G8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$B$4),"ifrs_","ifrs-full_")=$C8),0))</f>
        <v>#REF!</v>
      </c>
      <c r="H8" s="14" t="e">
        <f t="array" aca="1" ref="H8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$B$4),"ifrs_","ifrs-full_")=$C8),0))</f>
        <v>#REF!</v>
      </c>
    </row>
    <row r="9" spans="1:8">
      <c r="C9" s="4" t="s">
        <v>8834</v>
      </c>
      <c r="D9" s="37" t="s">
        <v>8822</v>
      </c>
      <c r="E9" s="3" t="s">
        <v>11</v>
      </c>
      <c r="F9" s="14" t="e">
        <f t="array" aca="1" ref="F9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#REF!</v>
      </c>
      <c r="G9" s="14" t="e">
        <f t="array" aca="1" ref="G9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#REF!</v>
      </c>
      <c r="H9" s="14" t="e">
        <f t="array" aca="1" ref="H9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$B$4),"ifrs_","ifrs-full_")=$C9),0))</f>
        <v>#REF!</v>
      </c>
    </row>
    <row r="10" spans="1:8">
      <c r="C10" s="4" t="s">
        <v>8842</v>
      </c>
      <c r="D10" s="37" t="s">
        <v>8843</v>
      </c>
      <c r="E10" s="3" t="s">
        <v>11</v>
      </c>
      <c r="F10" s="14" t="e">
        <f t="array" aca="1" ref="F10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#REF!</v>
      </c>
      <c r="G10" s="14" t="e">
        <f t="array" aca="1" ref="G10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#REF!</v>
      </c>
      <c r="H10" s="14" t="e">
        <f t="array" aca="1" ref="H10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$B$4),"ifrs_","ifrs-full_")=$C10),0))</f>
        <v>#REF!</v>
      </c>
    </row>
    <row r="11" spans="1:8">
      <c r="C11" s="4" t="s">
        <v>8835</v>
      </c>
      <c r="D11" s="37" t="s">
        <v>8823</v>
      </c>
      <c r="E11" s="3" t="s">
        <v>11</v>
      </c>
      <c r="F11" s="14" t="e">
        <f t="array" aca="1" ref="F11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#REF!</v>
      </c>
      <c r="G11" s="14" t="e">
        <f t="array" aca="1" ref="G11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#REF!</v>
      </c>
      <c r="H11" s="14" t="e">
        <f t="array" aca="1" ref="H11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$B$4),"ifrs_","ifrs-full_")=$C11),0))</f>
        <v>#REF!</v>
      </c>
    </row>
    <row r="12" spans="1:8">
      <c r="C12" s="4" t="s">
        <v>8838</v>
      </c>
      <c r="D12" s="5" t="s">
        <v>17</v>
      </c>
      <c r="E12" s="3" t="s">
        <v>11</v>
      </c>
      <c r="F12" s="14" t="e">
        <f t="array" aca="1" ref="F12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$B$4),"ifrs_","ifrs-full_")=$C12),0))</f>
        <v>#REF!</v>
      </c>
      <c r="G12" s="14" t="e">
        <f t="array" aca="1" ref="G12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$B$4),"ifrs_","ifrs-full_")=$C12),0))</f>
        <v>#REF!</v>
      </c>
      <c r="H12" s="14" t="e">
        <f t="array" aca="1" ref="H12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$B$4),"ifrs_","ifrs-full_")=$C12),0))</f>
        <v>#REF!</v>
      </c>
    </row>
    <row r="13" spans="1:8">
      <c r="C13" s="4" t="s">
        <v>8839</v>
      </c>
      <c r="D13" s="5" t="s">
        <v>22</v>
      </c>
      <c r="E13" s="3"/>
      <c r="F13" s="14" t="e">
        <f t="array" aca="1" ref="F13" ca="1">INDEX(INDIRECT(Main!$C$5&amp;"!M$" &amp; $A$4 &amp; ":M$"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#REF!</v>
      </c>
      <c r="G13" s="14" t="e">
        <f t="array" aca="1" ref="G13" ca="1">INDEX(INDIRECT(Main!$C$5&amp;"!N$" &amp; $A$4 &amp; ":N$"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#REF!</v>
      </c>
      <c r="H13" s="14" t="e">
        <f t="array" aca="1" ref="H13" ca="1">INDEX(INDIRECT(Main!$C$5&amp;"!O$" &amp; $A$4 &amp; ":O$" &amp; $B$4),MATCH(1,(INDIRECT(Main!$C$5&amp;"!$A$"&amp; $A$4 &amp; ":$A$" &amp; $B$4)=$A$1)*(INDIRECT(Main!$C$5&amp;"!$B$" &amp; $A$4 &amp; ":$B$" &amp; $B$4)=$A$3)*(SUBSTITUTE(INDIRECT(Main!$C$5&amp;"!$K$"&amp; $A$4 &amp; ":$K$" &amp; $B$4),"ifrs_","ifrs-full_")=$C13),0))</f>
        <v>#REF!</v>
      </c>
    </row>
  </sheetData>
  <mergeCells count="1">
    <mergeCell ref="A5:B5"/>
  </mergeCells>
  <phoneticPr fontId="12" type="noConversion"/>
  <hyperlinks>
    <hyperlink ref="A1" location="총괄!A1" display="재무상태표, 유동성배열법-연결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277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277" r:id="rId3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13"/>
  <sheetViews>
    <sheetView workbookViewId="0">
      <selection activeCell="A2" sqref="A2"/>
    </sheetView>
  </sheetViews>
  <sheetFormatPr defaultRowHeight="16.5"/>
  <cols>
    <col min="1" max="1" width="18.5" style="23" customWidth="1"/>
    <col min="2" max="2" width="19.875" style="23" customWidth="1"/>
    <col min="3" max="3" width="20" customWidth="1"/>
    <col min="4" max="4" width="50" customWidth="1"/>
    <col min="5" max="5" width="5" customWidth="1"/>
    <col min="6" max="8" width="25" customWidth="1"/>
  </cols>
  <sheetData>
    <row r="1" spans="1:8">
      <c r="A1" s="35" t="s">
        <v>8412</v>
      </c>
      <c r="H1" s="2" t="s">
        <v>8</v>
      </c>
    </row>
    <row r="2" spans="1:8">
      <c r="A2" s="11" t="s">
        <v>8912</v>
      </c>
      <c r="B2" s="11" t="s">
        <v>8913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</row>
    <row r="3" spans="1:8" ht="24">
      <c r="A3" s="13" t="str">
        <f>총괄!B1</f>
        <v>[000140]</v>
      </c>
      <c r="B3" s="12" t="str">
        <f>총괄!D1</f>
        <v>하이트진로홀딩스</v>
      </c>
      <c r="C3" s="10"/>
      <c r="D3" s="6"/>
      <c r="E3" s="6"/>
      <c r="F3" s="7" t="s">
        <v>0</v>
      </c>
      <c r="G3" s="7" t="s">
        <v>2</v>
      </c>
      <c r="H3" s="7" t="s">
        <v>3</v>
      </c>
    </row>
    <row r="4" spans="1:8">
      <c r="A4" s="36" t="e">
        <f ca="1">총괄!H5</f>
        <v>#REF!</v>
      </c>
      <c r="B4" s="36" t="str">
        <f ca="1">총괄!I5</f>
        <v/>
      </c>
      <c r="C4" s="4" t="s">
        <v>8825</v>
      </c>
      <c r="D4" s="5" t="s">
        <v>9</v>
      </c>
      <c r="E4" s="8"/>
      <c r="F4" s="9" t="s">
        <v>1</v>
      </c>
      <c r="G4" s="9" t="s">
        <v>1</v>
      </c>
      <c r="H4" s="9" t="s">
        <v>1</v>
      </c>
    </row>
    <row r="5" spans="1:8">
      <c r="A5" s="65" t="s">
        <v>8914</v>
      </c>
      <c r="B5" s="66"/>
      <c r="C5" s="4" t="s">
        <v>8828</v>
      </c>
      <c r="D5" s="5" t="s">
        <v>14</v>
      </c>
      <c r="E5" s="3"/>
      <c r="F5" s="14" t="e">
        <f t="array" aca="1" ref="F5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#REF!</v>
      </c>
      <c r="G5" s="14" t="e">
        <f t="array" aca="1" ref="G5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#REF!</v>
      </c>
      <c r="H5" s="14" t="e">
        <f t="array" aca="1" ref="H5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$B$4),"ifrs_","ifrs-full_")=$C5),0))</f>
        <v>#REF!</v>
      </c>
    </row>
    <row r="6" spans="1:8">
      <c r="A6" s="12" t="s">
        <v>8432</v>
      </c>
      <c r="B6" s="30" t="e">
        <f ca="1">(F5-G5)/G5</f>
        <v>#REF!</v>
      </c>
      <c r="C6" s="4" t="s">
        <v>8829</v>
      </c>
      <c r="D6" s="5" t="s">
        <v>18</v>
      </c>
      <c r="E6" s="8"/>
      <c r="F6" s="14" t="e">
        <f t="array" aca="1" ref="F6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$B$4),"ifrs_","ifrs-full_")=$C6),0))</f>
        <v>#REF!</v>
      </c>
      <c r="G6" s="14" t="e">
        <f t="array" aca="1" ref="G6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$B$4),"ifrs_","ifrs-full_")=$C6),0))</f>
        <v>#REF!</v>
      </c>
      <c r="H6" s="14" t="e">
        <f t="array" aca="1" ref="H6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$B$4),"ifrs_","ifrs-full_")=$C6),0))</f>
        <v>#REF!</v>
      </c>
    </row>
    <row r="7" spans="1:8">
      <c r="A7" s="12" t="s">
        <v>8447</v>
      </c>
      <c r="B7" s="30" t="e">
        <f ca="1">(F7-G7)/G7</f>
        <v>#REF!</v>
      </c>
      <c r="C7" s="4" t="s">
        <v>8832</v>
      </c>
      <c r="D7" s="5" t="s">
        <v>21</v>
      </c>
      <c r="E7" s="3" t="s">
        <v>11</v>
      </c>
      <c r="F7" s="14" t="e">
        <f t="array" aca="1" ref="F7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#REF!</v>
      </c>
      <c r="G7" s="14" t="e">
        <f t="array" aca="1" ref="G7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#REF!</v>
      </c>
      <c r="H7" s="14" t="e">
        <f t="array" aca="1" ref="H7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$B$4),"ifrs_","ifrs-full_")=$C7),0))</f>
        <v>#REF!</v>
      </c>
    </row>
    <row r="8" spans="1:8">
      <c r="A8" s="12" t="s">
        <v>8433</v>
      </c>
      <c r="B8" s="30" t="e">
        <f ca="1">(F12-G12)/G12</f>
        <v>#REF!</v>
      </c>
      <c r="C8" s="4" t="s">
        <v>8833</v>
      </c>
      <c r="D8" s="5" t="s">
        <v>15</v>
      </c>
      <c r="E8" s="8"/>
      <c r="F8" s="14" t="e">
        <f t="array" aca="1" ref="F8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$B$4),"ifrs_","ifrs-full_")=$C8),0))</f>
        <v>#REF!</v>
      </c>
      <c r="G8" s="14" t="e">
        <f t="array" aca="1" ref="G8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$B$4),"ifrs_","ifrs-full_")=$C8),0))</f>
        <v>#REF!</v>
      </c>
      <c r="H8" s="14" t="e">
        <f t="array" aca="1" ref="H8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$B$4),"ifrs_","ifrs-full_")=$C8),0))</f>
        <v>#REF!</v>
      </c>
    </row>
    <row r="9" spans="1:8">
      <c r="C9" s="4" t="s">
        <v>8834</v>
      </c>
      <c r="D9" s="37" t="s">
        <v>8844</v>
      </c>
      <c r="E9" s="3" t="s">
        <v>11</v>
      </c>
      <c r="F9" s="14" t="e">
        <f t="array" aca="1" ref="F9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#REF!</v>
      </c>
      <c r="G9" s="14" t="e">
        <f t="array" aca="1" ref="G9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#REF!</v>
      </c>
      <c r="H9" s="14" t="e">
        <f t="array" aca="1" ref="H9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$B$4),"ifrs_","ifrs-full_")=$C9),0))</f>
        <v>#REF!</v>
      </c>
    </row>
    <row r="10" spans="1:8">
      <c r="C10" s="4" t="s">
        <v>8842</v>
      </c>
      <c r="D10" s="37" t="s">
        <v>8845</v>
      </c>
      <c r="E10" s="3" t="s">
        <v>11</v>
      </c>
      <c r="F10" s="14" t="e">
        <f t="array" aca="1" ref="F10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#REF!</v>
      </c>
      <c r="G10" s="14" t="e">
        <f t="array" aca="1" ref="G10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#REF!</v>
      </c>
      <c r="H10" s="14" t="e">
        <f t="array" aca="1" ref="H10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$B$4),"ifrs_","ifrs-full_")=$C10),0))</f>
        <v>#REF!</v>
      </c>
    </row>
    <row r="11" spans="1:8">
      <c r="C11" s="4" t="s">
        <v>8835</v>
      </c>
      <c r="D11" s="37" t="s">
        <v>8841</v>
      </c>
      <c r="E11" s="3" t="s">
        <v>11</v>
      </c>
      <c r="F11" s="14" t="e">
        <f t="array" aca="1" ref="F11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#REF!</v>
      </c>
      <c r="G11" s="14" t="e">
        <f t="array" aca="1" ref="G11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#REF!</v>
      </c>
      <c r="H11" s="14" t="e">
        <f t="array" aca="1" ref="H11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$B$4),"ifrs_","ifrs-full_")=$C11),0))</f>
        <v>#REF!</v>
      </c>
    </row>
    <row r="12" spans="1:8">
      <c r="C12" s="4" t="s">
        <v>8838</v>
      </c>
      <c r="D12" s="5" t="s">
        <v>17</v>
      </c>
      <c r="E12" s="3" t="s">
        <v>11</v>
      </c>
      <c r="F12" s="14" t="e">
        <f t="array" aca="1" ref="F12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$B$4),"ifrs_","ifrs-full_")=$C12),0))</f>
        <v>#REF!</v>
      </c>
      <c r="G12" s="14" t="e">
        <f t="array" aca="1" ref="G12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$B$4),"ifrs_","ifrs-full_")=$C12),0))</f>
        <v>#REF!</v>
      </c>
      <c r="H12" s="14" t="e">
        <f t="array" aca="1" ref="H12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$B$4),"ifrs_","ifrs-full_")=$C12),0))</f>
        <v>#REF!</v>
      </c>
    </row>
    <row r="13" spans="1:8">
      <c r="C13" s="4" t="s">
        <v>8839</v>
      </c>
      <c r="D13" s="5" t="s">
        <v>22</v>
      </c>
      <c r="E13" s="3"/>
      <c r="F13" s="14" t="e">
        <f t="array" aca="1" ref="F13" ca="1">INDEX(INDIRECT(Main!$C$4&amp;"!M$" &amp; $A$4 &amp; ":M$"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#REF!</v>
      </c>
      <c r="G13" s="14" t="e">
        <f t="array" aca="1" ref="G13" ca="1">INDEX(INDIRECT(Main!$C$4&amp;"!N$" &amp; $A$4 &amp; ":N$"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#REF!</v>
      </c>
      <c r="H13" s="14" t="e">
        <f t="array" aca="1" ref="H13" ca="1">INDEX(INDIRECT(Main!$C$4&amp;"!O$" &amp; $A$4 &amp; ":O$" &amp; $B$4),MATCH(1,(INDIRECT(Main!$C$4&amp;"!$A$"&amp; $A$4 &amp; ":$A$" &amp; $B$4)=$A$1)*(INDIRECT(Main!$C$4&amp;"!$B$" &amp; $A$4 &amp; ":$B$" &amp; $B$4)=$A$3)*(SUBSTITUTE(INDIRECT(Main!$C$4&amp;"!$K$"&amp; $A$4 &amp; ":$K$" &amp; $B$4),"ifrs_","ifrs-full_")=$C13),0))</f>
        <v>#REF!</v>
      </c>
    </row>
  </sheetData>
  <mergeCells count="1">
    <mergeCell ref="A5:B5"/>
  </mergeCells>
  <phoneticPr fontId="12" type="noConversion"/>
  <hyperlinks>
    <hyperlink ref="A1" location="총괄!A1" display="재무상태표, 유동성배열법-별도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303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303" r:id="rId3" name="Combo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23"/>
  <sheetViews>
    <sheetView workbookViewId="0">
      <selection activeCell="A2" sqref="A2"/>
    </sheetView>
  </sheetViews>
  <sheetFormatPr defaultRowHeight="16.5"/>
  <cols>
    <col min="1" max="1" width="17.25" style="23" customWidth="1"/>
    <col min="2" max="2" width="18.87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8414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 t="str">
        <f>총괄!B1</f>
        <v>[000140]</v>
      </c>
      <c r="B3" s="12" t="str">
        <f>총괄!D1</f>
        <v>하이트진로홀딩스</v>
      </c>
      <c r="C3" s="10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총괄!H6</f>
        <v>#REF!</v>
      </c>
      <c r="B4" s="36" t="str">
        <f ca="1">총괄!I6</f>
        <v/>
      </c>
      <c r="C4" s="4" t="s">
        <v>8846</v>
      </c>
      <c r="D4" s="37" t="s">
        <v>28</v>
      </c>
      <c r="E4" s="38" t="s">
        <v>11</v>
      </c>
      <c r="F4" s="14" t="e">
        <f t="array" aca="1" ref="F4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G4" s="14" t="e">
        <f t="array" aca="1" ref="G4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H4" s="14" t="e">
        <f t="array" aca="1" ref="H4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I4" s="14" t="e">
        <f t="array" aca="1" ref="I4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J4" s="14" t="e">
        <f t="array" aca="1" ref="J4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K4" s="14" t="e">
        <f t="array" aca="1" ref="K4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</row>
    <row r="5" spans="1:11">
      <c r="A5" s="6" t="s">
        <v>8430</v>
      </c>
      <c r="B5" s="6" t="s">
        <v>8434</v>
      </c>
      <c r="C5" s="4" t="s">
        <v>8847</v>
      </c>
      <c r="D5" s="37" t="s">
        <v>29</v>
      </c>
      <c r="E5" s="38" t="s">
        <v>12</v>
      </c>
      <c r="F5" s="14" t="e">
        <f t="array" aca="1" ref="F5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G5" s="14" t="e">
        <f t="array" aca="1" ref="G5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H5" s="14" t="e">
        <f t="array" aca="1" ref="H5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I5" s="14" t="e">
        <f t="array" aca="1" ref="I5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J5" s="14" t="e">
        <f t="array" aca="1" ref="J5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K5" s="14" t="e">
        <f t="array" aca="1" ref="K5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</row>
    <row r="6" spans="1:11">
      <c r="A6" s="12" t="s">
        <v>8435</v>
      </c>
      <c r="B6" s="30" t="e">
        <f ca="1">G5/G4</f>
        <v>#REF!</v>
      </c>
      <c r="C6" s="4" t="s">
        <v>8848</v>
      </c>
      <c r="D6" s="37" t="s">
        <v>30</v>
      </c>
      <c r="E6" s="38" t="s">
        <v>11</v>
      </c>
      <c r="F6" s="14" t="e">
        <f t="array" aca="1" ref="F6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G6" s="14" t="e">
        <f t="array" aca="1" ref="G6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H6" s="14" t="e">
        <f t="array" aca="1" ref="H6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I6" s="14" t="e">
        <f t="array" aca="1" ref="I6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J6" s="14" t="e">
        <f t="array" aca="1" ref="J6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K6" s="14" t="e">
        <f t="array" aca="1" ref="K6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</row>
    <row r="7" spans="1:11">
      <c r="A7" s="12" t="s">
        <v>8436</v>
      </c>
      <c r="B7" s="30" t="e">
        <f ca="1">G6/G4</f>
        <v>#REF!</v>
      </c>
      <c r="C7" s="4" t="s">
        <v>31</v>
      </c>
      <c r="D7" s="37" t="s">
        <v>32</v>
      </c>
      <c r="E7" s="38" t="s">
        <v>12</v>
      </c>
      <c r="F7" s="14" t="e">
        <f t="array" aca="1" ref="F7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G7" s="14" t="e">
        <f t="array" aca="1" ref="G7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H7" s="14" t="e">
        <f t="array" aca="1" ref="H7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I7" s="14" t="e">
        <f t="array" aca="1" ref="I7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J7" s="14" t="e">
        <f t="array" aca="1" ref="J7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K7" s="14" t="e">
        <f t="array" aca="1" ref="K7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</row>
    <row r="8" spans="1:11">
      <c r="A8" s="12" t="s">
        <v>8437</v>
      </c>
      <c r="B8" s="30" t="e">
        <f ca="1">G7/G4</f>
        <v>#REF!</v>
      </c>
      <c r="C8" s="4" t="s">
        <v>33</v>
      </c>
      <c r="D8" s="37" t="s">
        <v>34</v>
      </c>
      <c r="E8" s="38" t="s">
        <v>11</v>
      </c>
      <c r="F8" s="14" t="e">
        <f t="array" aca="1" ref="F8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G8" s="14" t="e">
        <f t="array" aca="1" ref="G8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H8" s="14" t="e">
        <f t="array" aca="1" ref="H8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I8" s="14" t="e">
        <f t="array" aca="1" ref="I8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J8" s="14" t="e">
        <f t="array" aca="1" ref="J8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K8" s="14" t="e">
        <f t="array" aca="1" ref="K8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</row>
    <row r="9" spans="1:11">
      <c r="A9" s="12" t="s">
        <v>8438</v>
      </c>
      <c r="B9" s="30" t="e">
        <f ca="1">G8/G4</f>
        <v>#REF!</v>
      </c>
      <c r="C9" s="4" t="s">
        <v>35</v>
      </c>
      <c r="D9" s="37" t="s">
        <v>36</v>
      </c>
      <c r="E9" s="38" t="s">
        <v>11</v>
      </c>
      <c r="F9" s="14" t="e">
        <f t="array" aca="1" ref="F9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G9" s="14" t="e">
        <f t="array" aca="1" ref="G9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H9" s="14" t="e">
        <f t="array" aca="1" ref="H9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I9" s="14" t="e">
        <f t="array" aca="1" ref="I9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J9" s="14" t="e">
        <f t="array" aca="1" ref="J9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K9" s="14" t="e">
        <f t="array" aca="1" ref="K9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</row>
    <row r="10" spans="1:11">
      <c r="A10" s="12" t="s">
        <v>8439</v>
      </c>
      <c r="B10" s="31" t="e">
        <f ca="1">G17/G4</f>
        <v>#REF!</v>
      </c>
      <c r="C10" s="4" t="s">
        <v>37</v>
      </c>
      <c r="D10" s="37" t="s">
        <v>38</v>
      </c>
      <c r="E10" s="38" t="s">
        <v>12</v>
      </c>
      <c r="F10" s="14" t="e">
        <f t="array" aca="1" ref="F10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G10" s="14" t="e">
        <f t="array" aca="1" ref="G10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H10" s="14" t="e">
        <f t="array" aca="1" ref="H10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I10" s="14" t="e">
        <f t="array" aca="1" ref="I10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J10" s="14" t="e">
        <f t="array" aca="1" ref="J10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K10" s="14" t="e">
        <f t="array" aca="1" ref="K10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</row>
    <row r="11" spans="1:11">
      <c r="C11" s="4" t="s">
        <v>8849</v>
      </c>
      <c r="D11" s="37" t="s">
        <v>39</v>
      </c>
      <c r="E11" s="38" t="s">
        <v>11</v>
      </c>
      <c r="F11" s="14" t="e">
        <f t="array" aca="1" ref="F11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G11" s="14" t="e">
        <f t="array" aca="1" ref="G11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H11" s="14" t="e">
        <f t="array" aca="1" ref="H11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I11" s="14" t="e">
        <f t="array" aca="1" ref="I11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J11" s="14" t="e">
        <f t="array" aca="1" ref="J11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K11" s="14" t="e">
        <f t="array" aca="1" ref="K11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</row>
    <row r="12" spans="1:11">
      <c r="C12" s="4" t="s">
        <v>8850</v>
      </c>
      <c r="D12" s="37" t="s">
        <v>40</v>
      </c>
      <c r="E12" s="38" t="s">
        <v>12</v>
      </c>
      <c r="F12" s="14" t="e">
        <f t="array" aca="1" ref="F12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G12" s="14" t="e">
        <f t="array" aca="1" ref="G12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H12" s="14" t="e">
        <f t="array" aca="1" ref="H12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I12" s="14" t="e">
        <f t="array" aca="1" ref="I12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J12" s="14" t="e">
        <f t="array" aca="1" ref="J12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K12" s="14" t="e">
        <f t="array" aca="1" ref="K12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</row>
    <row r="13" spans="1:11">
      <c r="C13" s="4" t="s">
        <v>8851</v>
      </c>
      <c r="D13" s="37" t="s">
        <v>41</v>
      </c>
      <c r="E13" s="38" t="s">
        <v>11</v>
      </c>
      <c r="F13" s="14" t="e">
        <f t="array" aca="1" ref="F13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G13" s="14" t="e">
        <f t="array" aca="1" ref="G13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H13" s="14" t="e">
        <f t="array" aca="1" ref="H13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I13" s="14" t="e">
        <f t="array" aca="1" ref="I13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J13" s="14" t="e">
        <f t="array" aca="1" ref="J13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K13" s="14" t="e">
        <f t="array" aca="1" ref="K13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</row>
    <row r="14" spans="1:11">
      <c r="C14" s="4" t="s">
        <v>8852</v>
      </c>
      <c r="D14" s="37" t="s">
        <v>42</v>
      </c>
      <c r="E14" s="38" t="s">
        <v>12</v>
      </c>
      <c r="F14" s="14" t="e">
        <f t="array" aca="1" ref="F14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G14" s="14" t="e">
        <f t="array" aca="1" ref="G14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H14" s="14" t="e">
        <f t="array" aca="1" ref="H14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I14" s="14" t="e">
        <f t="array" aca="1" ref="I14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J14" s="14" t="e">
        <f t="array" aca="1" ref="J14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K14" s="14" t="e">
        <f t="array" aca="1" ref="K14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</row>
    <row r="15" spans="1:11">
      <c r="C15" s="4" t="s">
        <v>8853</v>
      </c>
      <c r="D15" s="37" t="s">
        <v>43</v>
      </c>
      <c r="E15" s="38" t="s">
        <v>11</v>
      </c>
      <c r="F15" s="14" t="e">
        <f t="array" aca="1" ref="F15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G15" s="14" t="e">
        <f t="array" aca="1" ref="G15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H15" s="14" t="e">
        <f t="array" aca="1" ref="H15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I15" s="14" t="e">
        <f t="array" aca="1" ref="I15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J15" s="14" t="e">
        <f t="array" aca="1" ref="J15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K15" s="14" t="e">
        <f t="array" aca="1" ref="K15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</row>
    <row r="16" spans="1:11">
      <c r="C16" s="4" t="s">
        <v>8854</v>
      </c>
      <c r="D16" s="37" t="s">
        <v>44</v>
      </c>
      <c r="E16" s="38" t="s">
        <v>11</v>
      </c>
      <c r="F16" s="14" t="e">
        <f t="array" aca="1" ref="F16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G16" s="14" t="e">
        <f t="array" aca="1" ref="G16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H16" s="14" t="e">
        <f t="array" aca="1" ref="H16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I16" s="14" t="e">
        <f t="array" aca="1" ref="I16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J16" s="14" t="e">
        <f t="array" aca="1" ref="J16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K16" s="14" t="e">
        <f t="array" aca="1" ref="K16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</row>
    <row r="17" spans="3:11">
      <c r="C17" s="4" t="s">
        <v>8855</v>
      </c>
      <c r="D17" s="37" t="s">
        <v>45</v>
      </c>
      <c r="E17" s="38"/>
      <c r="F17" s="14" t="e">
        <f t="array" aca="1" ref="F17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G17" s="14" t="e">
        <f t="array" aca="1" ref="G17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H17" s="14" t="e">
        <f t="array" aca="1" ref="H17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I17" s="14" t="e">
        <f t="array" aca="1" ref="I17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J17" s="14" t="e">
        <f t="array" aca="1" ref="J17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K17" s="14" t="e">
        <f t="array" aca="1" ref="K17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</row>
    <row r="18" spans="3:11">
      <c r="C18" s="4" t="s">
        <v>8856</v>
      </c>
      <c r="D18" s="37" t="s">
        <v>46</v>
      </c>
      <c r="E18" s="39"/>
      <c r="F18" s="14" t="e">
        <f t="array" aca="1" ref="F18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  <c r="G18" s="14" t="e">
        <f t="array" aca="1" ref="G18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  <c r="H18" s="14" t="e">
        <f t="array" aca="1" ref="H18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  <c r="I18" s="14" t="e">
        <f t="array" aca="1" ref="I18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  <c r="J18" s="14" t="e">
        <f t="array" aca="1" ref="J18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  <c r="K18" s="14" t="e">
        <f t="array" aca="1" ref="K18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</row>
    <row r="19" spans="3:11">
      <c r="C19" s="4" t="s">
        <v>8857</v>
      </c>
      <c r="D19" s="37" t="s">
        <v>47</v>
      </c>
      <c r="E19" s="38"/>
      <c r="F19" s="14" t="e">
        <f t="array" aca="1" ref="F19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G19" s="14" t="e">
        <f t="array" aca="1" ref="G19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H19" s="14" t="e">
        <f t="array" aca="1" ref="H19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I19" s="14" t="e">
        <f t="array" aca="1" ref="I19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J19" s="14" t="e">
        <f t="array" aca="1" ref="J19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K19" s="14" t="e">
        <f t="array" aca="1" ref="K19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</row>
    <row r="20" spans="3:11">
      <c r="C20" s="4" t="s">
        <v>8858</v>
      </c>
      <c r="D20" s="37" t="s">
        <v>48</v>
      </c>
      <c r="E20" s="38"/>
      <c r="F20" s="14" t="e">
        <f t="array" aca="1" ref="F20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G20" s="14" t="e">
        <f t="array" aca="1" ref="G20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H20" s="14" t="e">
        <f t="array" aca="1" ref="H20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I20" s="14" t="e">
        <f t="array" aca="1" ref="I20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J20" s="14" t="e">
        <f t="array" aca="1" ref="J20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K20" s="14" t="e">
        <f t="array" aca="1" ref="K20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</row>
    <row r="21" spans="3:11">
      <c r="C21" s="4" t="s">
        <v>8859</v>
      </c>
      <c r="D21" s="37" t="s">
        <v>49</v>
      </c>
      <c r="E21" s="39"/>
      <c r="F21" s="14" t="e">
        <f t="array" aca="1" ref="F21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$B$4),"ifrs_","ifrs-full_")=$C21),0))</f>
        <v>#REF!</v>
      </c>
      <c r="G21" s="14" t="e">
        <f t="array" aca="1" ref="G21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$B$4),"ifrs_","ifrs-full_")=$C21),0))</f>
        <v>#REF!</v>
      </c>
      <c r="H21" s="14" t="e">
        <f t="array" aca="1" ref="H21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$B$4),"ifrs_","ifrs-full_")=$C21),0))</f>
        <v>#REF!</v>
      </c>
      <c r="I21" s="14" t="e">
        <f t="array" aca="1" ref="I21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$B$4),"ifrs_","ifrs-full_")=$C21),0))</f>
        <v>#REF!</v>
      </c>
      <c r="J21" s="14" t="e">
        <f t="array" aca="1" ref="J21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$B$4),"ifrs_","ifrs-full_")=$C21),0))</f>
        <v>#REF!</v>
      </c>
      <c r="K21" s="14" t="e">
        <f t="array" aca="1" ref="K21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$B$4),"ifrs_","ifrs-full_")=$C21),0))</f>
        <v>#REF!</v>
      </c>
    </row>
    <row r="22" spans="3:11">
      <c r="C22" s="4" t="s">
        <v>8860</v>
      </c>
      <c r="D22" s="37" t="s">
        <v>50</v>
      </c>
      <c r="E22" s="38"/>
      <c r="F22" s="14" t="e">
        <f t="array" aca="1" ref="F22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  <c r="G22" s="14" t="e">
        <f t="array" aca="1" ref="G22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  <c r="H22" s="14" t="e">
        <f t="array" aca="1" ref="H22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  <c r="I22" s="14" t="e">
        <f t="array" aca="1" ref="I22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  <c r="J22" s="14" t="e">
        <f t="array" aca="1" ref="J22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  <c r="K22" s="14" t="e">
        <f t="array" aca="1" ref="K22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$B$4),"ifrs_","ifrs-full_")=$C22),0))</f>
        <v>#REF!</v>
      </c>
    </row>
    <row r="23" spans="3:11">
      <c r="C23" s="4" t="s">
        <v>8861</v>
      </c>
      <c r="D23" s="37" t="s">
        <v>51</v>
      </c>
      <c r="E23" s="38"/>
      <c r="F23" s="14" t="e">
        <f t="array" aca="1" ref="F23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  <c r="G23" s="14" t="e">
        <f t="array" aca="1" ref="G23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  <c r="H23" s="14" t="e">
        <f t="array" aca="1" ref="H23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  <c r="I23" s="14" t="e">
        <f t="array" aca="1" ref="I23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  <c r="J23" s="14" t="e">
        <f t="array" aca="1" ref="J23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  <c r="K23" s="14" t="e">
        <f t="array" aca="1" ref="K23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$B$4),"ifrs_","ifrs-full_")=$C23),0))</f>
        <v>#REF!</v>
      </c>
    </row>
  </sheetData>
  <phoneticPr fontId="12" type="noConversion"/>
  <hyperlinks>
    <hyperlink ref="A1" location="총괄!A1" display="손익계산서, 기능별 분류 - 연결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251" r:id="rId3" name="ComboBox1">
          <controlPr defaultSize="0" autoLine="0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6251" r:id="rId3" name="ComboBox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20"/>
  <sheetViews>
    <sheetView workbookViewId="0">
      <selection activeCell="A2" sqref="A2"/>
    </sheetView>
  </sheetViews>
  <sheetFormatPr defaultRowHeight="16.5"/>
  <cols>
    <col min="1" max="1" width="19.875" style="23" customWidth="1"/>
    <col min="2" max="2" width="20.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8415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 t="str">
        <f>총괄!B1</f>
        <v>[000140]</v>
      </c>
      <c r="B3" s="12" t="str">
        <f>총괄!D1</f>
        <v>하이트진로홀딩스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총괄!H7</f>
        <v>#REF!</v>
      </c>
      <c r="B4" s="36" t="str">
        <f ca="1">총괄!I7</f>
        <v/>
      </c>
      <c r="C4" s="4" t="s">
        <v>8846</v>
      </c>
      <c r="D4" s="5" t="s">
        <v>28</v>
      </c>
      <c r="E4" s="3" t="s">
        <v>11</v>
      </c>
      <c r="F4" s="14" t="e">
        <f t="array" aca="1" ref="F4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G4" s="14" t="e">
        <f t="array" aca="1" ref="G4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H4" s="14" t="e">
        <f t="array" aca="1" ref="H4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I4" s="14" t="e">
        <f t="array" aca="1" ref="I4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J4" s="14" t="e">
        <f t="array" aca="1" ref="J4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K4" s="14" t="e">
        <f t="array" aca="1" ref="K4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</row>
    <row r="5" spans="1:11">
      <c r="A5" s="6" t="s">
        <v>8430</v>
      </c>
      <c r="B5" s="6" t="s">
        <v>8434</v>
      </c>
      <c r="C5" s="4" t="s">
        <v>8847</v>
      </c>
      <c r="D5" s="5" t="s">
        <v>29</v>
      </c>
      <c r="E5" s="3" t="s">
        <v>12</v>
      </c>
      <c r="F5" s="14" t="e">
        <f t="array" aca="1" ref="F5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G5" s="14" t="e">
        <f t="array" aca="1" ref="G5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H5" s="14" t="e">
        <f t="array" aca="1" ref="H5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I5" s="14" t="e">
        <f t="array" aca="1" ref="I5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J5" s="14" t="e">
        <f t="array" aca="1" ref="J5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K5" s="14" t="e">
        <f t="array" aca="1" ref="K5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</row>
    <row r="6" spans="1:11">
      <c r="A6" s="12" t="s">
        <v>8435</v>
      </c>
      <c r="B6" s="30" t="e">
        <f ca="1">G5/G4</f>
        <v>#REF!</v>
      </c>
      <c r="C6" s="4" t="s">
        <v>8848</v>
      </c>
      <c r="D6" s="5" t="s">
        <v>30</v>
      </c>
      <c r="E6" s="3" t="s">
        <v>11</v>
      </c>
      <c r="F6" s="14" t="e">
        <f t="array" aca="1" ref="F6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G6" s="14" t="e">
        <f t="array" aca="1" ref="G6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H6" s="14" t="e">
        <f t="array" aca="1" ref="H6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I6" s="14" t="e">
        <f t="array" aca="1" ref="I6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J6" s="14" t="e">
        <f t="array" aca="1" ref="J6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K6" s="14" t="e">
        <f t="array" aca="1" ref="K6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</row>
    <row r="7" spans="1:11">
      <c r="A7" s="12" t="s">
        <v>8436</v>
      </c>
      <c r="B7" s="30" t="e">
        <f ca="1">G6/G4</f>
        <v>#REF!</v>
      </c>
      <c r="C7" s="4" t="s">
        <v>31</v>
      </c>
      <c r="D7" s="5" t="s">
        <v>32</v>
      </c>
      <c r="E7" s="3" t="s">
        <v>12</v>
      </c>
      <c r="F7" s="14" t="e">
        <f t="array" aca="1" ref="F7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G7" s="14" t="e">
        <f t="array" aca="1" ref="G7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H7" s="14" t="e">
        <f t="array" aca="1" ref="H7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I7" s="14" t="e">
        <f t="array" aca="1" ref="I7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J7" s="14" t="e">
        <f t="array" aca="1" ref="J7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K7" s="14" t="e">
        <f t="array" aca="1" ref="K7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</row>
    <row r="8" spans="1:11">
      <c r="A8" s="12" t="s">
        <v>8437</v>
      </c>
      <c r="B8" s="30" t="e">
        <f ca="1">G7/G4</f>
        <v>#REF!</v>
      </c>
      <c r="C8" s="4" t="s">
        <v>33</v>
      </c>
      <c r="D8" s="5" t="s">
        <v>34</v>
      </c>
      <c r="E8" s="3" t="s">
        <v>11</v>
      </c>
      <c r="F8" s="14" t="e">
        <f t="array" aca="1" ref="F8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G8" s="14" t="e">
        <f t="array" aca="1" ref="G8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H8" s="14" t="e">
        <f t="array" aca="1" ref="H8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I8" s="14" t="e">
        <f t="array" aca="1" ref="I8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J8" s="14" t="e">
        <f t="array" aca="1" ref="J8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K8" s="14" t="e">
        <f t="array" aca="1" ref="K8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</row>
    <row r="9" spans="1:11">
      <c r="A9" s="12" t="s">
        <v>8438</v>
      </c>
      <c r="B9" s="30" t="e">
        <f ca="1">G8/G4</f>
        <v>#REF!</v>
      </c>
      <c r="C9" s="4" t="s">
        <v>35</v>
      </c>
      <c r="D9" s="5" t="s">
        <v>36</v>
      </c>
      <c r="E9" s="3" t="s">
        <v>11</v>
      </c>
      <c r="F9" s="14" t="e">
        <f t="array" aca="1" ref="F9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G9" s="14" t="e">
        <f t="array" aca="1" ref="G9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H9" s="14" t="e">
        <f t="array" aca="1" ref="H9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I9" s="14" t="e">
        <f t="array" aca="1" ref="I9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J9" s="14" t="e">
        <f t="array" aca="1" ref="J9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K9" s="14" t="e">
        <f t="array" aca="1" ref="K9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</row>
    <row r="10" spans="1:11">
      <c r="A10" s="12" t="s">
        <v>8439</v>
      </c>
      <c r="B10" s="31" t="e">
        <f ca="1">G17/G4</f>
        <v>#REF!</v>
      </c>
      <c r="C10" s="4" t="s">
        <v>37</v>
      </c>
      <c r="D10" s="5" t="s">
        <v>38</v>
      </c>
      <c r="E10" s="3" t="s">
        <v>12</v>
      </c>
      <c r="F10" s="14" t="e">
        <f t="array" aca="1" ref="F10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G10" s="14" t="e">
        <f t="array" aca="1" ref="G10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H10" s="14" t="e">
        <f t="array" aca="1" ref="H10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I10" s="14" t="e">
        <f t="array" aca="1" ref="I10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J10" s="14" t="e">
        <f t="array" aca="1" ref="J10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K10" s="14" t="e">
        <f t="array" aca="1" ref="K10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</row>
    <row r="11" spans="1:11">
      <c r="C11" s="4" t="s">
        <v>8849</v>
      </c>
      <c r="D11" s="5" t="s">
        <v>39</v>
      </c>
      <c r="E11" s="3" t="s">
        <v>11</v>
      </c>
      <c r="F11" s="14" t="e">
        <f t="array" aca="1" ref="F11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G11" s="14" t="e">
        <f t="array" aca="1" ref="G11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H11" s="14" t="e">
        <f t="array" aca="1" ref="H11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I11" s="14" t="e">
        <f t="array" aca="1" ref="I11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J11" s="14" t="e">
        <f t="array" aca="1" ref="J11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K11" s="14" t="e">
        <f t="array" aca="1" ref="K11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</row>
    <row r="12" spans="1:11">
      <c r="C12" s="4" t="s">
        <v>8850</v>
      </c>
      <c r="D12" s="5" t="s">
        <v>40</v>
      </c>
      <c r="E12" s="3" t="s">
        <v>12</v>
      </c>
      <c r="F12" s="14" t="e">
        <f t="array" aca="1" ref="F12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G12" s="14" t="e">
        <f t="array" aca="1" ref="G12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H12" s="14" t="e">
        <f t="array" aca="1" ref="H12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I12" s="14" t="e">
        <f t="array" aca="1" ref="I12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J12" s="14" t="e">
        <f t="array" aca="1" ref="J12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K12" s="14" t="e">
        <f t="array" aca="1" ref="K12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</row>
    <row r="13" spans="1:11">
      <c r="C13" s="4" t="s">
        <v>8851</v>
      </c>
      <c r="D13" s="5" t="s">
        <v>41</v>
      </c>
      <c r="E13" s="3" t="s">
        <v>11</v>
      </c>
      <c r="F13" s="14" t="e">
        <f t="array" aca="1" ref="F13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G13" s="14" t="e">
        <f t="array" aca="1" ref="G13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H13" s="14" t="e">
        <f t="array" aca="1" ref="H13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I13" s="14" t="e">
        <f t="array" aca="1" ref="I13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J13" s="14" t="e">
        <f t="array" aca="1" ref="J13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K13" s="14" t="e">
        <f t="array" aca="1" ref="K13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</row>
    <row r="14" spans="1:11">
      <c r="C14" s="4" t="s">
        <v>8852</v>
      </c>
      <c r="D14" s="5" t="s">
        <v>42</v>
      </c>
      <c r="E14" s="3" t="s">
        <v>12</v>
      </c>
      <c r="F14" s="14" t="e">
        <f t="array" aca="1" ref="F14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G14" s="14" t="e">
        <f t="array" aca="1" ref="G14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H14" s="14" t="e">
        <f t="array" aca="1" ref="H14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I14" s="14" t="e">
        <f t="array" aca="1" ref="I14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J14" s="14" t="e">
        <f t="array" aca="1" ref="J14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K14" s="14" t="e">
        <f t="array" aca="1" ref="K14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</row>
    <row r="15" spans="1:11">
      <c r="C15" s="4" t="s">
        <v>8853</v>
      </c>
      <c r="D15" s="5" t="s">
        <v>43</v>
      </c>
      <c r="E15" s="3" t="s">
        <v>11</v>
      </c>
      <c r="F15" s="14" t="e">
        <f t="array" aca="1" ref="F15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G15" s="14" t="e">
        <f t="array" aca="1" ref="G15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H15" s="14" t="e">
        <f t="array" aca="1" ref="H15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I15" s="14" t="e">
        <f t="array" aca="1" ref="I15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J15" s="14" t="e">
        <f t="array" aca="1" ref="J15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K15" s="14" t="e">
        <f t="array" aca="1" ref="K15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</row>
    <row r="16" spans="1:11">
      <c r="C16" s="4" t="s">
        <v>8854</v>
      </c>
      <c r="D16" s="5" t="s">
        <v>44</v>
      </c>
      <c r="E16" s="3" t="s">
        <v>11</v>
      </c>
      <c r="F16" s="14" t="e">
        <f t="array" aca="1" ref="F16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G16" s="14" t="e">
        <f t="array" aca="1" ref="G16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H16" s="14" t="e">
        <f t="array" aca="1" ref="H16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I16" s="14" t="e">
        <f t="array" aca="1" ref="I16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J16" s="14" t="e">
        <f t="array" aca="1" ref="J16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K16" s="14" t="e">
        <f t="array" aca="1" ref="K16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</row>
    <row r="17" spans="3:11">
      <c r="C17" s="4" t="s">
        <v>8855</v>
      </c>
      <c r="D17" s="5" t="s">
        <v>45</v>
      </c>
      <c r="E17" s="3"/>
      <c r="F17" s="14" t="e">
        <f t="array" aca="1" ref="F17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G17" s="14" t="e">
        <f t="array" aca="1" ref="G17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H17" s="14" t="e">
        <f t="array" aca="1" ref="H17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I17" s="14" t="e">
        <f t="array" aca="1" ref="I17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J17" s="14" t="e">
        <f t="array" aca="1" ref="J17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K17" s="14" t="e">
        <f t="array" aca="1" ref="K17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</row>
    <row r="18" spans="3:11">
      <c r="C18" s="4" t="s">
        <v>8859</v>
      </c>
      <c r="D18" s="5" t="s">
        <v>49</v>
      </c>
      <c r="E18" s="8"/>
      <c r="F18" s="14" t="e">
        <f t="array" aca="1" ref="F18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$B$4),"ifrs_","ifrs-full_")=$C18),0))</f>
        <v>#REF!</v>
      </c>
      <c r="G18" s="14" t="e">
        <f t="array" aca="1" ref="G18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$B$4),"ifrs_","ifrs-full_")=$C18),0))</f>
        <v>#REF!</v>
      </c>
      <c r="H18" s="14" t="e">
        <f t="array" aca="1" ref="H18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$B$4),"ifrs_","ifrs-full_")=$C18),0))</f>
        <v>#REF!</v>
      </c>
      <c r="I18" s="14" t="e">
        <f t="array" aca="1" ref="I18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$B$4),"ifrs_","ifrs-full_")=$C18),0))</f>
        <v>#REF!</v>
      </c>
      <c r="J18" s="14" t="e">
        <f t="array" aca="1" ref="J18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$B$4),"ifrs_","ifrs-full_")=$C18),0))</f>
        <v>#REF!</v>
      </c>
      <c r="K18" s="14" t="e">
        <f t="array" aca="1" ref="K18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$B$4),"ifrs_","ifrs-full_")=$C18),0))</f>
        <v>#REF!</v>
      </c>
    </row>
    <row r="19" spans="3:11">
      <c r="C19" s="4" t="s">
        <v>8860</v>
      </c>
      <c r="D19" s="5" t="s">
        <v>50</v>
      </c>
      <c r="E19" s="3"/>
      <c r="F19" s="14" t="e">
        <f t="array" aca="1" ref="F19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  <c r="G19" s="14" t="e">
        <f t="array" aca="1" ref="G19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  <c r="H19" s="14" t="e">
        <f t="array" aca="1" ref="H19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  <c r="I19" s="14" t="e">
        <f t="array" aca="1" ref="I19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  <c r="J19" s="14" t="e">
        <f t="array" aca="1" ref="J19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  <c r="K19" s="14" t="e">
        <f t="array" aca="1" ref="K19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$B$4),"ifrs_","ifrs-full_")=$C19),0))</f>
        <v>#REF!</v>
      </c>
    </row>
    <row r="20" spans="3:11">
      <c r="C20" s="4" t="s">
        <v>8861</v>
      </c>
      <c r="D20" s="5" t="s">
        <v>51</v>
      </c>
      <c r="E20" s="3"/>
      <c r="F20" s="14" t="e">
        <f t="array" aca="1" ref="F20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  <c r="G20" s="14" t="e">
        <f t="array" aca="1" ref="G20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  <c r="H20" s="14" t="e">
        <f t="array" aca="1" ref="H20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  <c r="I20" s="14" t="e">
        <f t="array" aca="1" ref="I20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  <c r="J20" s="14" t="e">
        <f t="array" aca="1" ref="J20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  <c r="K20" s="14" t="e">
        <f t="array" aca="1" ref="K20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$B$4),"ifrs_","ifrs-full_")=$C20),0))</f>
        <v>#REF!</v>
      </c>
    </row>
  </sheetData>
  <phoneticPr fontId="12" type="noConversion"/>
  <hyperlinks>
    <hyperlink ref="A1" location="총괄!A1" display="손익계산서, 기능별 분류 - 별도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273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7273" r:id="rId3" name="Combo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K20"/>
  <sheetViews>
    <sheetView workbookViewId="0">
      <selection activeCell="A2" sqref="A2"/>
    </sheetView>
  </sheetViews>
  <sheetFormatPr defaultRowHeight="16.5"/>
  <cols>
    <col min="1" max="1" width="22.375" style="23" customWidth="1"/>
    <col min="2" max="2" width="19" style="23" customWidth="1"/>
    <col min="3" max="3" width="27.5" customWidth="1"/>
    <col min="4" max="4" width="50" customWidth="1"/>
    <col min="5" max="5" width="5" customWidth="1"/>
    <col min="6" max="11" width="25" customWidth="1"/>
  </cols>
  <sheetData>
    <row r="1" spans="1:11">
      <c r="A1" s="35" t="s">
        <v>8442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 t="str">
        <f>총괄!B1</f>
        <v>[000140]</v>
      </c>
      <c r="B3" s="12" t="str">
        <f>총괄!D1</f>
        <v>하이트진로홀딩스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총괄!H8</f>
        <v>#REF!</v>
      </c>
      <c r="B4" s="36" t="str">
        <f ca="1">총괄!I8</f>
        <v/>
      </c>
      <c r="C4" s="4" t="s">
        <v>8846</v>
      </c>
      <c r="D4" s="5" t="s">
        <v>28</v>
      </c>
      <c r="E4" s="3" t="s">
        <v>11</v>
      </c>
      <c r="F4" s="14" t="e">
        <f t="array" aca="1" ref="F4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G4" s="14" t="e">
        <f t="array" aca="1" ref="G4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H4" s="14" t="e">
        <f t="array" aca="1" ref="H4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I4" s="14" t="e">
        <f t="array" aca="1" ref="I4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J4" s="14" t="e">
        <f t="array" aca="1" ref="J4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  <c r="K4" s="14" t="e">
        <f t="array" aca="1" ref="K4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$B$4),"ifrs_","ifrs-full_")=$C4),0))</f>
        <v>#REF!</v>
      </c>
    </row>
    <row r="5" spans="1:11">
      <c r="A5" s="6" t="s">
        <v>8430</v>
      </c>
      <c r="B5" s="6" t="s">
        <v>8434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G5" s="14" t="e">
        <f t="array" aca="1" ref="G5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H5" s="14" t="e">
        <f t="array" aca="1" ref="H5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I5" s="14" t="e">
        <f t="array" aca="1" ref="I5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J5" s="14" t="e">
        <f t="array" aca="1" ref="J5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  <c r="K5" s="14" t="e">
        <f t="array" aca="1" ref="K5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$B$4),"ifrs_","ifrs-full_")=$C5),0))</f>
        <v>#REF!</v>
      </c>
    </row>
    <row r="6" spans="1:11">
      <c r="A6" s="12" t="s">
        <v>8438</v>
      </c>
      <c r="B6" s="30" t="e">
        <f ca="1">+G5/G4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G6" s="14" t="e">
        <f t="array" aca="1" ref="G6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H6" s="14" t="e">
        <f t="array" aca="1" ref="H6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I6" s="14" t="e">
        <f t="array" aca="1" ref="I6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J6" s="14" t="e">
        <f t="array" aca="1" ref="J6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  <c r="K6" s="14" t="e">
        <f t="array" aca="1" ref="K6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$B$4),"ifrs_","ifrs-full_")=$C6),0))</f>
        <v>#REF!</v>
      </c>
    </row>
    <row r="7" spans="1:11">
      <c r="A7" s="12" t="s">
        <v>8439</v>
      </c>
      <c r="B7" s="32" t="e">
        <f ca="1">G14/G4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G7" s="14" t="e">
        <f t="array" aca="1" ref="G7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H7" s="14" t="e">
        <f t="array" aca="1" ref="H7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I7" s="14" t="e">
        <f t="array" aca="1" ref="I7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J7" s="14" t="e">
        <f t="array" aca="1" ref="J7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  <c r="K7" s="14" t="e">
        <f t="array" aca="1" ref="K7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$B$4),"ifrs_","ifrs-full_")=$C7),0))</f>
        <v>#REF!</v>
      </c>
    </row>
    <row r="8" spans="1:11">
      <c r="C8" s="4" t="s">
        <v>8849</v>
      </c>
      <c r="D8" s="5" t="s">
        <v>39</v>
      </c>
      <c r="E8" s="3" t="s">
        <v>11</v>
      </c>
      <c r="F8" s="14" t="e">
        <f t="array" aca="1" ref="F8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G8" s="14" t="e">
        <f t="array" aca="1" ref="G8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H8" s="14" t="e">
        <f t="array" aca="1" ref="H8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I8" s="14" t="e">
        <f t="array" aca="1" ref="I8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J8" s="14" t="e">
        <f t="array" aca="1" ref="J8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  <c r="K8" s="14" t="e">
        <f t="array" aca="1" ref="K8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$B$4),"ifrs_","ifrs-full_")=$C8),0))</f>
        <v>#REF!</v>
      </c>
    </row>
    <row r="9" spans="1:11">
      <c r="C9" s="4" t="s">
        <v>8850</v>
      </c>
      <c r="D9" s="5" t="s">
        <v>40</v>
      </c>
      <c r="E9" s="3" t="s">
        <v>12</v>
      </c>
      <c r="F9" s="14" t="e">
        <f t="array" aca="1" ref="F9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G9" s="14" t="e">
        <f t="array" aca="1" ref="G9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H9" s="14" t="e">
        <f t="array" aca="1" ref="H9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I9" s="14" t="e">
        <f t="array" aca="1" ref="I9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J9" s="14" t="e">
        <f t="array" aca="1" ref="J9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  <c r="K9" s="14" t="e">
        <f t="array" aca="1" ref="K9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$B$4),"ifrs_","ifrs-full_")=$C9),0))</f>
        <v>#REF!</v>
      </c>
    </row>
    <row r="10" spans="1:11">
      <c r="C10" s="4" t="s">
        <v>8851</v>
      </c>
      <c r="D10" s="5" t="s">
        <v>41</v>
      </c>
      <c r="E10" s="3" t="s">
        <v>11</v>
      </c>
      <c r="F10" s="14" t="e">
        <f t="array" aca="1" ref="F10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G10" s="14" t="e">
        <f t="array" aca="1" ref="G10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H10" s="14" t="e">
        <f t="array" aca="1" ref="H10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I10" s="14" t="e">
        <f t="array" aca="1" ref="I10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J10" s="14" t="e">
        <f t="array" aca="1" ref="J10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  <c r="K10" s="14" t="e">
        <f t="array" aca="1" ref="K10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$B$4),"ifrs_","ifrs-full_")=$C10),0))</f>
        <v>#REF!</v>
      </c>
    </row>
    <row r="11" spans="1:11">
      <c r="C11" s="4" t="s">
        <v>8852</v>
      </c>
      <c r="D11" s="5" t="s">
        <v>42</v>
      </c>
      <c r="E11" s="3" t="s">
        <v>12</v>
      </c>
      <c r="F11" s="14" t="e">
        <f t="array" aca="1" ref="F11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G11" s="14" t="e">
        <f t="array" aca="1" ref="G11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H11" s="14" t="e">
        <f t="array" aca="1" ref="H11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I11" s="14" t="e">
        <f t="array" aca="1" ref="I11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J11" s="14" t="e">
        <f t="array" aca="1" ref="J11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  <c r="K11" s="14" t="e">
        <f t="array" aca="1" ref="K11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$B$4),"ifrs_","ifrs-full_")=$C11),0))</f>
        <v>#REF!</v>
      </c>
    </row>
    <row r="12" spans="1:11">
      <c r="C12" s="4" t="s">
        <v>8853</v>
      </c>
      <c r="D12" s="5" t="s">
        <v>43</v>
      </c>
      <c r="E12" s="3" t="s">
        <v>11</v>
      </c>
      <c r="F12" s="14" t="e">
        <f t="array" aca="1" ref="F12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G12" s="14" t="e">
        <f t="array" aca="1" ref="G12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H12" s="14" t="e">
        <f t="array" aca="1" ref="H12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I12" s="14" t="e">
        <f t="array" aca="1" ref="I12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J12" s="14" t="e">
        <f t="array" aca="1" ref="J12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  <c r="K12" s="14" t="e">
        <f t="array" aca="1" ref="K12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$B$4),"ifrs_","ifrs-full_")=$C12),0))</f>
        <v>#REF!</v>
      </c>
    </row>
    <row r="13" spans="1:11">
      <c r="C13" s="4" t="s">
        <v>8854</v>
      </c>
      <c r="D13" s="5" t="s">
        <v>44</v>
      </c>
      <c r="E13" s="3" t="s">
        <v>11</v>
      </c>
      <c r="F13" s="14" t="e">
        <f t="array" aca="1" ref="F13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G13" s="14" t="e">
        <f t="array" aca="1" ref="G13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H13" s="14" t="e">
        <f t="array" aca="1" ref="H13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I13" s="14" t="e">
        <f t="array" aca="1" ref="I13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J13" s="14" t="e">
        <f t="array" aca="1" ref="J13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  <c r="K13" s="14" t="e">
        <f t="array" aca="1" ref="K13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$B$4),"ifrs_","ifrs-full_")=$C13),0))</f>
        <v>#REF!</v>
      </c>
    </row>
    <row r="14" spans="1:11">
      <c r="C14" s="4" t="s">
        <v>8855</v>
      </c>
      <c r="D14" s="5" t="s">
        <v>45</v>
      </c>
      <c r="E14" s="3"/>
      <c r="F14" s="14" t="e">
        <f t="array" aca="1" ref="F14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G14" s="14" t="e">
        <f t="array" aca="1" ref="G14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H14" s="14" t="e">
        <f t="array" aca="1" ref="H14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I14" s="14" t="e">
        <f t="array" aca="1" ref="I14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J14" s="14" t="e">
        <f t="array" aca="1" ref="J14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  <c r="K14" s="14" t="e">
        <f t="array" aca="1" ref="K14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$B$4),"ifrs_","ifrs-full_")=$C14),0))</f>
        <v>#REF!</v>
      </c>
    </row>
    <row r="15" spans="1:11">
      <c r="C15" s="4" t="s">
        <v>8856</v>
      </c>
      <c r="D15" s="5" t="s">
        <v>46</v>
      </c>
      <c r="E15" s="8"/>
      <c r="F15" s="14" t="e">
        <f t="array" aca="1" ref="F15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G15" s="14" t="e">
        <f t="array" aca="1" ref="G15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H15" s="14" t="e">
        <f t="array" aca="1" ref="H15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I15" s="14" t="e">
        <f t="array" aca="1" ref="I15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J15" s="14" t="e">
        <f t="array" aca="1" ref="J15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  <c r="K15" s="14" t="e">
        <f t="array" aca="1" ref="K15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$B$4),"ifrs_","ifrs-full_")=$C15),0))</f>
        <v>#REF!</v>
      </c>
    </row>
    <row r="16" spans="1:11">
      <c r="C16" s="4" t="s">
        <v>8857</v>
      </c>
      <c r="D16" s="5" t="s">
        <v>47</v>
      </c>
      <c r="E16" s="3"/>
      <c r="F16" s="14" t="e">
        <f t="array" aca="1" ref="F16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G16" s="14" t="e">
        <f t="array" aca="1" ref="G16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H16" s="14" t="e">
        <f t="array" aca="1" ref="H16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I16" s="14" t="e">
        <f t="array" aca="1" ref="I16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J16" s="14" t="e">
        <f t="array" aca="1" ref="J16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  <c r="K16" s="14" t="e">
        <f t="array" aca="1" ref="K16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$B$4),"ifrs_","ifrs-full_")=$C16),0))</f>
        <v>#REF!</v>
      </c>
    </row>
    <row r="17" spans="3:11">
      <c r="C17" s="4" t="s">
        <v>8858</v>
      </c>
      <c r="D17" s="5" t="s">
        <v>48</v>
      </c>
      <c r="E17" s="3"/>
      <c r="F17" s="14" t="e">
        <f t="array" aca="1" ref="F17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G17" s="14" t="e">
        <f t="array" aca="1" ref="G17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H17" s="14" t="e">
        <f t="array" aca="1" ref="H17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I17" s="14" t="e">
        <f t="array" aca="1" ref="I17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J17" s="14" t="e">
        <f t="array" aca="1" ref="J17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  <c r="K17" s="14" t="e">
        <f t="array" aca="1" ref="K17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$B$4),"ifrs_","ifrs-full_")=$C17),0))</f>
        <v>#REF!</v>
      </c>
    </row>
    <row r="18" spans="3:11">
      <c r="C18" s="4" t="s">
        <v>8859</v>
      </c>
      <c r="D18" s="5" t="s">
        <v>49</v>
      </c>
      <c r="E18" s="8"/>
      <c r="F18" s="14" t="e">
        <f t="array" aca="1" ref="F18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  <c r="G18" s="14" t="e">
        <f t="array" aca="1" ref="G18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  <c r="H18" s="14" t="e">
        <f t="array" aca="1" ref="H18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  <c r="I18" s="14" t="e">
        <f t="array" aca="1" ref="I18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  <c r="J18" s="14" t="e">
        <f t="array" aca="1" ref="J18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  <c r="K18" s="14" t="e">
        <f t="array" aca="1" ref="K18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$B$4),"ifrs_","ifrs-full_")=$C18),0))</f>
        <v>#REF!</v>
      </c>
    </row>
    <row r="19" spans="3:11">
      <c r="C19" s="4" t="s">
        <v>8860</v>
      </c>
      <c r="D19" s="5" t="s">
        <v>50</v>
      </c>
      <c r="E19" s="3"/>
      <c r="F19" s="14" t="e">
        <f t="array" aca="1" ref="F19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G19" s="14" t="e">
        <f t="array" aca="1" ref="G19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H19" s="14" t="e">
        <f t="array" aca="1" ref="H19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I19" s="14" t="e">
        <f t="array" aca="1" ref="I19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J19" s="14" t="e">
        <f t="array" aca="1" ref="J19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  <c r="K19" s="14" t="e">
        <f t="array" aca="1" ref="K19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$B$4),"ifrs_","ifrs-full_")=$C19),0))</f>
        <v>#REF!</v>
      </c>
    </row>
    <row r="20" spans="3:11">
      <c r="C20" s="4" t="s">
        <v>8861</v>
      </c>
      <c r="D20" s="5" t="s">
        <v>51</v>
      </c>
      <c r="E20" s="3"/>
      <c r="F20" s="14" t="e">
        <f t="array" aca="1" ref="F20" ca="1">INDEX(INDIRECT(Main!$C$7&amp;"!M$" &amp; $A$4 &amp; ":M$"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G20" s="14" t="e">
        <f t="array" aca="1" ref="G20" ca="1">INDEX(INDIRECT(Main!$C$7&amp;"!N$" &amp; $A$4 &amp; ":N$"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H20" s="14" t="e">
        <f t="array" aca="1" ref="H20" ca="1">INDEX(INDIRECT(Main!$C$7&amp;"!O$" &amp; $A$4 &amp; ":O$"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I20" s="14" t="e">
        <f t="array" aca="1" ref="I20" ca="1">INDEX(INDIRECT(Main!$C$7&amp;"!P$" &amp; $A$4 &amp; ":P$"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J20" s="14" t="e">
        <f t="array" aca="1" ref="J20" ca="1">INDEX(INDIRECT(Main!$C$7&amp;"!Q$" &amp; $A$4 &amp; ":Q$"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  <c r="K20" s="14" t="e">
        <f t="array" aca="1" ref="K20" ca="1">INDEX(INDIRECT(Main!$C$7&amp;"!R$" &amp; $A$4 &amp; ":R$" &amp; $B$4),MATCH(1,(INDIRECT(Main!$C$7&amp;"!$A$"&amp; $A$4 &amp; ":$A$" &amp; $B$4)=$A$1)*(INDIRECT(Main!$C$7&amp;"!$B$" &amp; $A$4 &amp; ":$B$" &amp; $B$4)=$A$3)*(SUBSTITUTE(INDIRECT(Main!$C$7&amp;"!$K$"&amp; $A$4 &amp; ":$K$" &amp; $B$4),"ifrs_","ifrs-full_")=$C20),0))</f>
        <v>#REF!</v>
      </c>
    </row>
  </sheetData>
  <phoneticPr fontId="12" type="noConversion"/>
  <hyperlinks>
    <hyperlink ref="A1" location="총괄!A1" display="손익계산서, 성격별 분류 - 연결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73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8273" r:id="rId3" name="ComboBox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K17"/>
  <sheetViews>
    <sheetView workbookViewId="0">
      <selection activeCell="A2" sqref="A2"/>
    </sheetView>
  </sheetViews>
  <sheetFormatPr defaultRowHeight="16.5"/>
  <cols>
    <col min="1" max="1" width="23.5" style="23" customWidth="1"/>
    <col min="2" max="2" width="19.87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8441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 t="str">
        <f>총괄!B1</f>
        <v>[000140]</v>
      </c>
      <c r="B3" s="12" t="str">
        <f>총괄!D1</f>
        <v>하이트진로홀딩스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총괄!H9</f>
        <v>#REF!</v>
      </c>
      <c r="B4" s="36" t="str">
        <f ca="1">총괄!I9</f>
        <v/>
      </c>
      <c r="C4" s="4" t="s">
        <v>8846</v>
      </c>
      <c r="D4" s="5" t="s">
        <v>28</v>
      </c>
      <c r="E4" s="3" t="s">
        <v>11</v>
      </c>
      <c r="F4" s="14" t="e">
        <f t="array" aca="1" ref="F4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G4" s="14" t="e">
        <f t="array" aca="1" ref="G4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H4" s="14" t="e">
        <f t="array" aca="1" ref="H4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I4" s="14" t="e">
        <f t="array" aca="1" ref="I4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J4" s="14" t="e">
        <f t="array" aca="1" ref="J4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  <c r="K4" s="14" t="e">
        <f t="array" aca="1" ref="K4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$B$4),"ifrs_","ifrs-full_")=$C4),0))</f>
        <v>#REF!</v>
      </c>
    </row>
    <row r="5" spans="1:11">
      <c r="A5" s="6" t="s">
        <v>8430</v>
      </c>
      <c r="B5" s="6" t="s">
        <v>8434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G5" s="14" t="e">
        <f t="array" aca="1" ref="G5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H5" s="14" t="e">
        <f t="array" aca="1" ref="H5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I5" s="14" t="e">
        <f t="array" aca="1" ref="I5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J5" s="14" t="e">
        <f t="array" aca="1" ref="J5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  <c r="K5" s="14" t="e">
        <f t="array" aca="1" ref="K5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$B$4),"ifrs_","ifrs-full_")=$C5),0))</f>
        <v>#REF!</v>
      </c>
    </row>
    <row r="6" spans="1:11">
      <c r="A6" s="12" t="s">
        <v>8438</v>
      </c>
      <c r="B6" s="30" t="e">
        <f ca="1">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G6" s="14" t="e">
        <f t="array" aca="1" ref="G6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H6" s="14" t="e">
        <f t="array" aca="1" ref="H6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I6" s="14" t="e">
        <f t="array" aca="1" ref="I6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J6" s="14" t="e">
        <f t="array" aca="1" ref="J6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  <c r="K6" s="14" t="e">
        <f t="array" aca="1" ref="K6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$B$4),"ifrs_","ifrs-full_")=$C6),0))</f>
        <v>#REF!</v>
      </c>
    </row>
    <row r="7" spans="1:11">
      <c r="A7" s="12" t="s">
        <v>8439</v>
      </c>
      <c r="B7" s="30" t="e">
        <f ca="1">G14/G4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G7" s="14" t="e">
        <f t="array" aca="1" ref="G7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H7" s="14" t="e">
        <f t="array" aca="1" ref="H7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I7" s="14" t="e">
        <f t="array" aca="1" ref="I7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J7" s="14" t="e">
        <f t="array" aca="1" ref="J7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  <c r="K7" s="14" t="e">
        <f t="array" aca="1" ref="K7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$B$4),"ifrs_","ifrs-full_")=$C7),0))</f>
        <v>#REF!</v>
      </c>
    </row>
    <row r="8" spans="1:11">
      <c r="C8" s="4" t="s">
        <v>8849</v>
      </c>
      <c r="D8" s="5" t="s">
        <v>39</v>
      </c>
      <c r="E8" s="3" t="s">
        <v>11</v>
      </c>
      <c r="F8" s="14" t="e">
        <f t="array" aca="1" ref="F8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G8" s="14" t="e">
        <f t="array" aca="1" ref="G8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H8" s="14" t="e">
        <f t="array" aca="1" ref="H8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I8" s="14" t="e">
        <f t="array" aca="1" ref="I8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J8" s="14" t="e">
        <f t="array" aca="1" ref="J8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  <c r="K8" s="14" t="e">
        <f t="array" aca="1" ref="K8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$B$4),"ifrs_","ifrs-full_")=$C8),0))</f>
        <v>#REF!</v>
      </c>
    </row>
    <row r="9" spans="1:11">
      <c r="C9" s="4" t="s">
        <v>8850</v>
      </c>
      <c r="D9" s="5" t="s">
        <v>40</v>
      </c>
      <c r="E9" s="3" t="s">
        <v>12</v>
      </c>
      <c r="F9" s="14" t="e">
        <f t="array" aca="1" ref="F9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G9" s="14" t="e">
        <f t="array" aca="1" ref="G9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H9" s="14" t="e">
        <f t="array" aca="1" ref="H9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I9" s="14" t="e">
        <f t="array" aca="1" ref="I9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J9" s="14" t="e">
        <f t="array" aca="1" ref="J9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  <c r="K9" s="14" t="e">
        <f t="array" aca="1" ref="K9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$B$4),"ifrs_","ifrs-full_")=$C9),0))</f>
        <v>#REF!</v>
      </c>
    </row>
    <row r="10" spans="1:11">
      <c r="C10" s="4" t="s">
        <v>8851</v>
      </c>
      <c r="D10" s="5" t="s">
        <v>41</v>
      </c>
      <c r="E10" s="3" t="s">
        <v>11</v>
      </c>
      <c r="F10" s="14" t="e">
        <f t="array" aca="1" ref="F10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G10" s="14" t="e">
        <f t="array" aca="1" ref="G10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H10" s="14" t="e">
        <f t="array" aca="1" ref="H10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I10" s="14" t="e">
        <f t="array" aca="1" ref="I10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J10" s="14" t="e">
        <f t="array" aca="1" ref="J10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  <c r="K10" s="14" t="e">
        <f t="array" aca="1" ref="K10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$B$4),"ifrs_","ifrs-full_")=$C10),0))</f>
        <v>#REF!</v>
      </c>
    </row>
    <row r="11" spans="1:11">
      <c r="C11" s="4" t="s">
        <v>8852</v>
      </c>
      <c r="D11" s="5" t="s">
        <v>42</v>
      </c>
      <c r="E11" s="3" t="s">
        <v>12</v>
      </c>
      <c r="F11" s="14" t="e">
        <f t="array" aca="1" ref="F11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G11" s="14" t="e">
        <f t="array" aca="1" ref="G11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H11" s="14" t="e">
        <f t="array" aca="1" ref="H11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I11" s="14" t="e">
        <f t="array" aca="1" ref="I11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J11" s="14" t="e">
        <f t="array" aca="1" ref="J11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  <c r="K11" s="14" t="e">
        <f t="array" aca="1" ref="K11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$B$4),"ifrs_","ifrs-full_")=$C11),0))</f>
        <v>#REF!</v>
      </c>
    </row>
    <row r="12" spans="1:11">
      <c r="C12" s="4" t="s">
        <v>8853</v>
      </c>
      <c r="D12" s="5" t="s">
        <v>43</v>
      </c>
      <c r="E12" s="3" t="s">
        <v>11</v>
      </c>
      <c r="F12" s="14" t="e">
        <f t="array" aca="1" ref="F12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G12" s="14" t="e">
        <f t="array" aca="1" ref="G12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H12" s="14" t="e">
        <f t="array" aca="1" ref="H12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I12" s="14" t="e">
        <f t="array" aca="1" ref="I12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J12" s="14" t="e">
        <f t="array" aca="1" ref="J12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  <c r="K12" s="14" t="e">
        <f t="array" aca="1" ref="K12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$B$4),"ifrs_","ifrs-full_")=$C12),0))</f>
        <v>#REF!</v>
      </c>
    </row>
    <row r="13" spans="1:11">
      <c r="C13" s="4" t="s">
        <v>8854</v>
      </c>
      <c r="D13" s="5" t="s">
        <v>44</v>
      </c>
      <c r="E13" s="3" t="s">
        <v>11</v>
      </c>
      <c r="F13" s="14" t="e">
        <f t="array" aca="1" ref="F13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G13" s="14" t="e">
        <f t="array" aca="1" ref="G13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H13" s="14" t="e">
        <f t="array" aca="1" ref="H13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I13" s="14" t="e">
        <f t="array" aca="1" ref="I13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J13" s="14" t="e">
        <f t="array" aca="1" ref="J13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  <c r="K13" s="14" t="e">
        <f t="array" aca="1" ref="K13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$B$4),"ifrs_","ifrs-full_")=$C13),0))</f>
        <v>#REF!</v>
      </c>
    </row>
    <row r="14" spans="1:11">
      <c r="C14" s="4" t="s">
        <v>8855</v>
      </c>
      <c r="D14" s="5" t="s">
        <v>45</v>
      </c>
      <c r="E14" s="3"/>
      <c r="F14" s="14" t="e">
        <f t="array" aca="1" ref="F14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G14" s="14" t="e">
        <f t="array" aca="1" ref="G14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H14" s="14" t="e">
        <f t="array" aca="1" ref="H14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I14" s="14" t="e">
        <f t="array" aca="1" ref="I14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J14" s="14" t="e">
        <f t="array" aca="1" ref="J14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  <c r="K14" s="14" t="e">
        <f t="array" aca="1" ref="K14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$B$4),"ifrs_","ifrs-full_")=$C14),0))</f>
        <v>#REF!</v>
      </c>
    </row>
    <row r="15" spans="1:11">
      <c r="C15" s="4" t="s">
        <v>8859</v>
      </c>
      <c r="D15" s="5" t="s">
        <v>49</v>
      </c>
      <c r="E15" s="8"/>
      <c r="F15" s="14" t="e">
        <f t="array" aca="1" ref="F15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G15" s="14" t="e">
        <f t="array" aca="1" ref="G15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H15" s="14" t="e">
        <f t="array" aca="1" ref="H15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I15" s="14" t="e">
        <f t="array" aca="1" ref="I15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J15" s="14" t="e">
        <f t="array" aca="1" ref="J15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  <c r="K15" s="14" t="e">
        <f t="array" aca="1" ref="K15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$B$4),"ifrs_","ifrs-full_")=$C15),0))</f>
        <v>#REF!</v>
      </c>
    </row>
    <row r="16" spans="1:11">
      <c r="C16" s="4" t="s">
        <v>8860</v>
      </c>
      <c r="D16" s="5" t="s">
        <v>50</v>
      </c>
      <c r="E16" s="3"/>
      <c r="F16" s="14" t="e">
        <f t="array" aca="1" ref="F16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G16" s="14" t="e">
        <f t="array" aca="1" ref="G16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H16" s="14" t="e">
        <f t="array" aca="1" ref="H16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I16" s="14" t="e">
        <f t="array" aca="1" ref="I16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J16" s="14" t="e">
        <f t="array" aca="1" ref="J16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  <c r="K16" s="14" t="e">
        <f t="array" aca="1" ref="K16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$B$4),"ifrs_","ifrs-full_")=$C16),0))</f>
        <v>#REF!</v>
      </c>
    </row>
    <row r="17" spans="3:11">
      <c r="C17" s="4" t="s">
        <v>8861</v>
      </c>
      <c r="D17" s="5" t="s">
        <v>51</v>
      </c>
      <c r="E17" s="3"/>
      <c r="F17" s="14" t="e">
        <f t="array" aca="1" ref="F17" ca="1">INDEX(INDIRECT(Main!$C$6&amp;"!M$" &amp; $A$4 &amp; ":M$"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G17" s="14" t="e">
        <f t="array" aca="1" ref="G17" ca="1">INDEX(INDIRECT(Main!$C$6&amp;"!N$" &amp; $A$4 &amp; ":N$"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H17" s="14" t="e">
        <f t="array" aca="1" ref="H17" ca="1">INDEX(INDIRECT(Main!$C$6&amp;"!O$" &amp; $A$4 &amp; ":O$"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I17" s="14" t="e">
        <f t="array" aca="1" ref="I17" ca="1">INDEX(INDIRECT(Main!$C$6&amp;"!P$" &amp; $A$4 &amp; ":P$"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J17" s="14" t="e">
        <f t="array" aca="1" ref="J17" ca="1">INDEX(INDIRECT(Main!$C$6&amp;"!Q$" &amp; $A$4 &amp; ":Q$"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  <c r="K17" s="14" t="e">
        <f t="array" aca="1" ref="K17" ca="1">INDEX(INDIRECT(Main!$C$6&amp;"!R$" &amp; $A$4 &amp; ":R$" &amp; $B$4),MATCH(1,(INDIRECT(Main!$C$6&amp;"!$A$"&amp; $A$4 &amp; ":$A$" &amp; $B$4)=$A$1)*(INDIRECT(Main!$C$6&amp;"!$B$" &amp; $A$4 &amp; ":$B$" &amp; $B$4)=$A$3)*(SUBSTITUTE(INDIRECT(Main!$C$6&amp;"!$K$"&amp; $A$4 &amp; ":$K$" &amp; $B$4),"ifrs_","ifrs-full_")=$C17),0))</f>
        <v>#REF!</v>
      </c>
    </row>
  </sheetData>
  <phoneticPr fontId="12" type="noConversion"/>
  <hyperlinks>
    <hyperlink ref="A1" location="총괄!A1" display="손익계산서, 성격별 분류 - 별도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95" r:id="rId3" name="ComboBox1">
          <controlPr defaultSize="0" autoLine="0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9295" r:id="rId3" name="Combo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11"/>
  <sheetViews>
    <sheetView workbookViewId="0">
      <selection activeCell="A2" sqref="A2"/>
    </sheetView>
  </sheetViews>
  <sheetFormatPr defaultRowHeight="16.5"/>
  <cols>
    <col min="1" max="1" width="23.25" style="23" customWidth="1"/>
    <col min="2" max="2" width="19.6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8388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 t="str">
        <f>총괄!B1</f>
        <v>[000140]</v>
      </c>
      <c r="B3" s="12" t="str">
        <f>총괄!D1</f>
        <v>하이트진로홀딩스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총괄!H10</f>
        <v>#REF!</v>
      </c>
      <c r="B4" s="36" t="str">
        <f ca="1">총괄!I10</f>
        <v/>
      </c>
      <c r="C4" s="4" t="s">
        <v>8855</v>
      </c>
      <c r="D4" s="5" t="s">
        <v>45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8430</v>
      </c>
      <c r="B5" s="6" t="s">
        <v>8434</v>
      </c>
      <c r="C5" s="4" t="s">
        <v>8868</v>
      </c>
      <c r="D5" s="5" t="s">
        <v>52</v>
      </c>
      <c r="E5" s="3" t="s">
        <v>11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8448</v>
      </c>
      <c r="B6" s="30" t="e">
        <f ca="1">G5/G4</f>
        <v>#REF!</v>
      </c>
      <c r="C6" s="4" t="s">
        <v>8862</v>
      </c>
      <c r="D6" s="37" t="s">
        <v>8863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C7" s="4" t="s">
        <v>54</v>
      </c>
      <c r="D7" s="37" t="s">
        <v>8864</v>
      </c>
      <c r="E7" s="3" t="s">
        <v>11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C8" s="4" t="s">
        <v>8869</v>
      </c>
      <c r="D8" s="5" t="s">
        <v>55</v>
      </c>
      <c r="E8" s="3"/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C9" s="4" t="s">
        <v>8870</v>
      </c>
      <c r="D9" s="37" t="s">
        <v>8865</v>
      </c>
      <c r="E9" s="8"/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C10" s="4" t="s">
        <v>8871</v>
      </c>
      <c r="D10" s="37" t="s">
        <v>8866</v>
      </c>
      <c r="E10" s="3"/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8872</v>
      </c>
      <c r="D11" s="37" t="s">
        <v>8867</v>
      </c>
      <c r="E11" s="3"/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</sheetData>
  <phoneticPr fontId="12" type="noConversion"/>
  <hyperlinks>
    <hyperlink ref="A1" location="총괄!A1" display="포괄손익계산서(세후기타포괄손익) - 연결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8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78" r:id="rId3" name="Combo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K8"/>
  <sheetViews>
    <sheetView workbookViewId="0">
      <selection activeCell="A2" sqref="A2"/>
    </sheetView>
  </sheetViews>
  <sheetFormatPr defaultRowHeight="16.5"/>
  <cols>
    <col min="1" max="1" width="23.125" style="23" customWidth="1"/>
    <col min="2" max="2" width="20.87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8383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 t="str">
        <f>총괄!B1</f>
        <v>[000140]</v>
      </c>
      <c r="B3" s="12" t="str">
        <f>총괄!D1</f>
        <v>하이트진로홀딩스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총괄!H11</f>
        <v>#REF!</v>
      </c>
      <c r="B4" s="36" t="str">
        <f ca="1">총괄!I11</f>
        <v/>
      </c>
      <c r="C4" s="4" t="s">
        <v>8855</v>
      </c>
      <c r="D4" s="5" t="s">
        <v>45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6" t="s">
        <v>8430</v>
      </c>
      <c r="B5" s="6" t="s">
        <v>8434</v>
      </c>
      <c r="C5" s="4" t="s">
        <v>8868</v>
      </c>
      <c r="D5" s="5" t="s">
        <v>52</v>
      </c>
      <c r="E5" s="3" t="s">
        <v>11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2" t="s">
        <v>8448</v>
      </c>
      <c r="B6" s="30" t="e">
        <f ca="1">G5/G4</f>
        <v>#REF!</v>
      </c>
      <c r="C6" s="4" t="s">
        <v>53</v>
      </c>
      <c r="D6" s="37" t="s">
        <v>8874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C7" s="4" t="s">
        <v>54</v>
      </c>
      <c r="D7" s="37" t="s">
        <v>8873</v>
      </c>
      <c r="E7" s="3" t="s">
        <v>11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C8" s="4" t="s">
        <v>8869</v>
      </c>
      <c r="D8" s="5" t="s">
        <v>55</v>
      </c>
      <c r="E8" s="3"/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</sheetData>
  <phoneticPr fontId="12" type="noConversion"/>
  <hyperlinks>
    <hyperlink ref="A1" location="총괄!A1" display="포괄손익계산서(세후기타포괄손익) - 별도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99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1299" r:id="rId3" name="Combo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K12"/>
  <sheetViews>
    <sheetView workbookViewId="0">
      <selection activeCell="A2" sqref="A2"/>
    </sheetView>
  </sheetViews>
  <sheetFormatPr defaultRowHeight="16.5"/>
  <cols>
    <col min="1" max="1" width="19.375" style="23" customWidth="1"/>
    <col min="2" max="2" width="21.1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8391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 t="str">
        <f>총괄!B1</f>
        <v>[000140]</v>
      </c>
      <c r="B3" s="12" t="str">
        <f>총괄!D1</f>
        <v>하이트진로홀딩스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총괄!H12</f>
        <v>#REF!</v>
      </c>
      <c r="B4" s="36" t="str">
        <f ca="1">총괄!I12</f>
        <v/>
      </c>
      <c r="C4" s="4" t="s">
        <v>8855</v>
      </c>
      <c r="D4" s="5" t="s">
        <v>45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8430</v>
      </c>
      <c r="B5" s="6" t="s">
        <v>8434</v>
      </c>
      <c r="C5" s="4" t="s">
        <v>8868</v>
      </c>
      <c r="D5" s="5" t="s">
        <v>52</v>
      </c>
      <c r="E5" s="3" t="s">
        <v>11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8448</v>
      </c>
      <c r="B6" s="30" t="e">
        <f ca="1">G5/G4</f>
        <v>#REF!</v>
      </c>
      <c r="C6" s="4" t="s">
        <v>56</v>
      </c>
      <c r="D6" s="37" t="s">
        <v>8875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C7" s="4" t="s">
        <v>57</v>
      </c>
      <c r="D7" s="37" t="s">
        <v>8876</v>
      </c>
      <c r="E7" s="3" t="s">
        <v>11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C8" s="4" t="s">
        <v>59</v>
      </c>
      <c r="D8" s="37" t="s">
        <v>8877</v>
      </c>
      <c r="E8" s="3" t="s">
        <v>12</v>
      </c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C9" s="4" t="s">
        <v>8869</v>
      </c>
      <c r="D9" s="5" t="s">
        <v>55</v>
      </c>
      <c r="E9" s="3"/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C10" s="4" t="s">
        <v>8870</v>
      </c>
      <c r="D10" s="37" t="s">
        <v>8878</v>
      </c>
      <c r="E10" s="8"/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8871</v>
      </c>
      <c r="D11" s="37" t="s">
        <v>8879</v>
      </c>
      <c r="E11" s="3"/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  <row r="12" spans="1:11">
      <c r="C12" s="4" t="s">
        <v>8872</v>
      </c>
      <c r="D12" s="37" t="s">
        <v>8880</v>
      </c>
      <c r="E12" s="3"/>
      <c r="F12" s="14" t="e">
        <f t="array" aca="1" ref="F1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G12" s="14" t="e">
        <f t="array" aca="1" ref="G1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H12" s="14" t="e">
        <f t="array" aca="1" ref="H1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I12" s="14" t="e">
        <f t="array" aca="1" ref="I1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J12" s="14" t="e">
        <f t="array" aca="1" ref="J1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K12" s="14" t="e">
        <f t="array" aca="1" ref="K1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</row>
  </sheetData>
  <phoneticPr fontId="12" type="noConversion"/>
  <hyperlinks>
    <hyperlink ref="A1" location="총괄!A1" display="포괄손익계산서(세전기타포괄손익) - 연결재무제표(선택)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341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2341" r:id="rId3" name="ComboBox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K9"/>
  <sheetViews>
    <sheetView workbookViewId="0">
      <selection activeCell="A2" sqref="A2"/>
    </sheetView>
  </sheetViews>
  <sheetFormatPr defaultRowHeight="16.5"/>
  <cols>
    <col min="1" max="1" width="21.75" style="23" customWidth="1"/>
    <col min="2" max="2" width="19.87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8411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 t="str">
        <f>총괄!B1</f>
        <v>[000140]</v>
      </c>
      <c r="B3" s="12" t="str">
        <f>총괄!D1</f>
        <v>하이트진로홀딩스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총괄!H13</f>
        <v>#REF!</v>
      </c>
      <c r="B4" s="36" t="str">
        <f ca="1">총괄!I13</f>
        <v/>
      </c>
      <c r="C4" s="4" t="s">
        <v>8855</v>
      </c>
      <c r="D4" s="5" t="s">
        <v>45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6" t="s">
        <v>8430</v>
      </c>
      <c r="B5" s="6" t="s">
        <v>8434</v>
      </c>
      <c r="C5" s="4" t="s">
        <v>8868</v>
      </c>
      <c r="D5" s="5" t="s">
        <v>52</v>
      </c>
      <c r="E5" s="3" t="s">
        <v>11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2" t="s">
        <v>8448</v>
      </c>
      <c r="B6" s="30" t="e">
        <f ca="1">G5/G4</f>
        <v>#REF!</v>
      </c>
      <c r="C6" s="4" t="s">
        <v>56</v>
      </c>
      <c r="D6" s="37" t="s">
        <v>8881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C7" s="4" t="s">
        <v>57</v>
      </c>
      <c r="D7" s="37" t="s">
        <v>8882</v>
      </c>
      <c r="E7" s="3" t="s">
        <v>11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C8" s="4" t="s">
        <v>58</v>
      </c>
      <c r="D8" s="37" t="s">
        <v>8883</v>
      </c>
      <c r="E8" s="3" t="s">
        <v>12</v>
      </c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  <row r="9" spans="1:11">
      <c r="C9" s="4" t="s">
        <v>8869</v>
      </c>
      <c r="D9" s="5" t="s">
        <v>55</v>
      </c>
      <c r="E9" s="3"/>
      <c r="F9" s="14" t="e">
        <f t="array" aca="1" ref="F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G9" s="14" t="e">
        <f t="array" aca="1" ref="G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H9" s="14" t="e">
        <f t="array" aca="1" ref="H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I9" s="14" t="e">
        <f t="array" aca="1" ref="I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J9" s="14" t="e">
        <f t="array" aca="1" ref="J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K9" s="14" t="e">
        <f t="array" aca="1" ref="K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</row>
  </sheetData>
  <phoneticPr fontId="12" type="noConversion"/>
  <hyperlinks>
    <hyperlink ref="A1" location="총괄!A1" display="포괄손익계산서(세전기타포괄손익) - 별도재무제표(선택)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62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3362" r:id="rId3" name="ComboBox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K30"/>
  <sheetViews>
    <sheetView workbookViewId="0">
      <selection activeCell="A2" sqref="A2"/>
    </sheetView>
  </sheetViews>
  <sheetFormatPr defaultRowHeight="16.5"/>
  <cols>
    <col min="1" max="1" width="22" style="23" customWidth="1"/>
    <col min="2" max="2" width="22.1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8387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 t="str">
        <f>총괄!B1</f>
        <v>[000140]</v>
      </c>
      <c r="B3" s="12" t="str">
        <f>총괄!D1</f>
        <v>하이트진로홀딩스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총괄!H14</f>
        <v>#REF!</v>
      </c>
      <c r="B4" s="36" t="str">
        <f ca="1">총괄!I14</f>
        <v/>
      </c>
      <c r="C4" s="4" t="s">
        <v>8846</v>
      </c>
      <c r="D4" s="5" t="s">
        <v>28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8430</v>
      </c>
      <c r="B5" s="6" t="s">
        <v>8434</v>
      </c>
      <c r="C5" s="4" t="s">
        <v>8847</v>
      </c>
      <c r="D5" s="5" t="s">
        <v>29</v>
      </c>
      <c r="E5" s="3" t="s">
        <v>12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8435</v>
      </c>
      <c r="B6" s="30" t="e">
        <f ca="1">G5/G4</f>
        <v>#REF!</v>
      </c>
      <c r="C6" s="4" t="s">
        <v>8848</v>
      </c>
      <c r="D6" s="5" t="s">
        <v>30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A7" s="12" t="s">
        <v>8436</v>
      </c>
      <c r="B7" s="30" t="e">
        <f ca="1">G6/G4</f>
        <v>#REF!</v>
      </c>
      <c r="C7" s="4" t="s">
        <v>31</v>
      </c>
      <c r="D7" s="5" t="s">
        <v>32</v>
      </c>
      <c r="E7" s="3" t="s">
        <v>12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A8" s="12" t="s">
        <v>8437</v>
      </c>
      <c r="B8" s="30" t="e">
        <f ca="1">G7/G4</f>
        <v>#REF!</v>
      </c>
      <c r="C8" s="4" t="s">
        <v>33</v>
      </c>
      <c r="D8" s="5" t="s">
        <v>34</v>
      </c>
      <c r="E8" s="3" t="s">
        <v>11</v>
      </c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A9" s="12" t="s">
        <v>8438</v>
      </c>
      <c r="B9" s="30" t="e">
        <f ca="1">G8/G4</f>
        <v>#REF!</v>
      </c>
      <c r="C9" s="4" t="s">
        <v>35</v>
      </c>
      <c r="D9" s="5" t="s">
        <v>36</v>
      </c>
      <c r="E9" s="3" t="s">
        <v>11</v>
      </c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A10" s="12" t="s">
        <v>8439</v>
      </c>
      <c r="B10" s="30" t="e">
        <f ca="1">G17/G4</f>
        <v>#REF!</v>
      </c>
      <c r="C10" s="4" t="s">
        <v>37</v>
      </c>
      <c r="D10" s="5" t="s">
        <v>38</v>
      </c>
      <c r="E10" s="3" t="s">
        <v>12</v>
      </c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8849</v>
      </c>
      <c r="D11" s="5" t="s">
        <v>39</v>
      </c>
      <c r="E11" s="3" t="s">
        <v>11</v>
      </c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  <row r="12" spans="1:11">
      <c r="C12" s="4" t="s">
        <v>8850</v>
      </c>
      <c r="D12" s="5" t="s">
        <v>40</v>
      </c>
      <c r="E12" s="3" t="s">
        <v>12</v>
      </c>
      <c r="F12" s="14" t="e">
        <f t="array" aca="1" ref="F1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G12" s="14" t="e">
        <f t="array" aca="1" ref="G1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H12" s="14" t="e">
        <f t="array" aca="1" ref="H1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I12" s="14" t="e">
        <f t="array" aca="1" ref="I1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J12" s="14" t="e">
        <f t="array" aca="1" ref="J1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K12" s="14" t="e">
        <f t="array" aca="1" ref="K1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</row>
    <row r="13" spans="1:11">
      <c r="C13" s="4" t="s">
        <v>8851</v>
      </c>
      <c r="D13" s="5" t="s">
        <v>41</v>
      </c>
      <c r="E13" s="3" t="s">
        <v>11</v>
      </c>
      <c r="F13" s="14" t="e">
        <f t="array" aca="1" ref="F1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G13" s="14" t="e">
        <f t="array" aca="1" ref="G1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H13" s="14" t="e">
        <f t="array" aca="1" ref="H1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I13" s="14" t="e">
        <f t="array" aca="1" ref="I1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J13" s="14" t="e">
        <f t="array" aca="1" ref="J1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K13" s="14" t="e">
        <f t="array" aca="1" ref="K1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</row>
    <row r="14" spans="1:11">
      <c r="C14" s="4" t="s">
        <v>8852</v>
      </c>
      <c r="D14" s="5" t="s">
        <v>42</v>
      </c>
      <c r="E14" s="3" t="s">
        <v>12</v>
      </c>
      <c r="F14" s="14" t="e">
        <f t="array" aca="1" ref="F1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G14" s="14" t="e">
        <f t="array" aca="1" ref="G1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H14" s="14" t="e">
        <f t="array" aca="1" ref="H1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I14" s="14" t="e">
        <f t="array" aca="1" ref="I1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J14" s="14" t="e">
        <f t="array" aca="1" ref="J1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K14" s="14" t="e">
        <f t="array" aca="1" ref="K1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</row>
    <row r="15" spans="1:11">
      <c r="C15" s="4" t="s">
        <v>8853</v>
      </c>
      <c r="D15" s="5" t="s">
        <v>43</v>
      </c>
      <c r="E15" s="3" t="s">
        <v>11</v>
      </c>
      <c r="F15" s="14" t="e">
        <f t="array" aca="1" ref="F1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G15" s="14" t="e">
        <f t="array" aca="1" ref="G1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H15" s="14" t="e">
        <f t="array" aca="1" ref="H1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I15" s="14" t="e">
        <f t="array" aca="1" ref="I1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J15" s="14" t="e">
        <f t="array" aca="1" ref="J1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K15" s="14" t="e">
        <f t="array" aca="1" ref="K1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</row>
    <row r="16" spans="1:11">
      <c r="C16" s="4" t="s">
        <v>8854</v>
      </c>
      <c r="D16" s="5" t="s">
        <v>44</v>
      </c>
      <c r="E16" s="3" t="s">
        <v>11</v>
      </c>
      <c r="F16" s="14" t="e">
        <f t="array" aca="1" ref="F1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G16" s="14" t="e">
        <f t="array" aca="1" ref="G1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H16" s="14" t="e">
        <f t="array" aca="1" ref="H1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I16" s="14" t="e">
        <f t="array" aca="1" ref="I1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J16" s="14" t="e">
        <f t="array" aca="1" ref="J1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K16" s="14" t="e">
        <f t="array" aca="1" ref="K1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</row>
    <row r="17" spans="3:11">
      <c r="C17" s="4" t="s">
        <v>8855</v>
      </c>
      <c r="D17" s="5" t="s">
        <v>45</v>
      </c>
      <c r="E17" s="3" t="s">
        <v>11</v>
      </c>
      <c r="F17" s="14" t="e">
        <f t="array" aca="1" ref="F1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G17" s="14" t="e">
        <f t="array" aca="1" ref="G1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H17" s="14" t="e">
        <f t="array" aca="1" ref="H1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I17" s="14" t="e">
        <f t="array" aca="1" ref="I1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J17" s="14" t="e">
        <f t="array" aca="1" ref="J1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K17" s="14" t="e">
        <f t="array" aca="1" ref="K1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</row>
    <row r="18" spans="3:11">
      <c r="C18" s="4" t="s">
        <v>8868</v>
      </c>
      <c r="D18" s="5" t="s">
        <v>52</v>
      </c>
      <c r="E18" s="3" t="s">
        <v>11</v>
      </c>
      <c r="F18" s="14" t="e">
        <f t="array" aca="1" ref="F1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G18" s="14" t="e">
        <f t="array" aca="1" ref="G1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H18" s="14" t="e">
        <f t="array" aca="1" ref="H1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I18" s="14" t="e">
        <f t="array" aca="1" ref="I1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J18" s="14" t="e">
        <f t="array" aca="1" ref="J1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K18" s="14" t="e">
        <f t="array" aca="1" ref="K1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</row>
    <row r="19" spans="3:11">
      <c r="C19" s="4" t="s">
        <v>8862</v>
      </c>
      <c r="D19" s="37" t="s">
        <v>8884</v>
      </c>
      <c r="E19" s="3" t="s">
        <v>11</v>
      </c>
      <c r="F19" s="14" t="e">
        <f t="array" aca="1" ref="F1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G19" s="14" t="e">
        <f t="array" aca="1" ref="G1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H19" s="14" t="e">
        <f t="array" aca="1" ref="H1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I19" s="14" t="e">
        <f t="array" aca="1" ref="I1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J19" s="14" t="e">
        <f t="array" aca="1" ref="J1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K19" s="14" t="e">
        <f t="array" aca="1" ref="K1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</row>
    <row r="20" spans="3:11">
      <c r="C20" s="4" t="s">
        <v>54</v>
      </c>
      <c r="D20" s="37" t="s">
        <v>8885</v>
      </c>
      <c r="E20" s="3" t="s">
        <v>11</v>
      </c>
      <c r="F20" s="14" t="e">
        <f t="array" aca="1" ref="F2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G20" s="14" t="e">
        <f t="array" aca="1" ref="G2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H20" s="14" t="e">
        <f t="array" aca="1" ref="H2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I20" s="14" t="e">
        <f t="array" aca="1" ref="I2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J20" s="14" t="e">
        <f t="array" aca="1" ref="J2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K20" s="14" t="e">
        <f t="array" aca="1" ref="K2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</row>
    <row r="21" spans="3:11">
      <c r="C21" s="4" t="s">
        <v>8869</v>
      </c>
      <c r="D21" s="5" t="s">
        <v>55</v>
      </c>
      <c r="E21" s="3"/>
      <c r="F21" s="14" t="e">
        <f t="array" aca="1" ref="F2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G21" s="14" t="e">
        <f t="array" aca="1" ref="G2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H21" s="14" t="e">
        <f t="array" aca="1" ref="H2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I21" s="14" t="e">
        <f t="array" aca="1" ref="I2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J21" s="14" t="e">
        <f t="array" aca="1" ref="J2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K21" s="14" t="e">
        <f t="array" aca="1" ref="K2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</row>
    <row r="22" spans="3:11">
      <c r="C22" s="4" t="s">
        <v>8856</v>
      </c>
      <c r="D22" s="5" t="s">
        <v>46</v>
      </c>
      <c r="E22" s="8"/>
      <c r="F22" s="14" t="e">
        <f t="array" aca="1" ref="F2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G22" s="14" t="e">
        <f t="array" aca="1" ref="G2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H22" s="14" t="e">
        <f t="array" aca="1" ref="H2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I22" s="14" t="e">
        <f t="array" aca="1" ref="I2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J22" s="14" t="e">
        <f t="array" aca="1" ref="J2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K22" s="14" t="e">
        <f t="array" aca="1" ref="K2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</row>
    <row r="23" spans="3:11">
      <c r="C23" s="4" t="s">
        <v>8857</v>
      </c>
      <c r="D23" s="5" t="s">
        <v>47</v>
      </c>
      <c r="E23" s="3"/>
      <c r="F23" s="14" t="e">
        <f t="array" aca="1" ref="F2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G23" s="14" t="e">
        <f t="array" aca="1" ref="G2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H23" s="14" t="e">
        <f t="array" aca="1" ref="H2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I23" s="14" t="e">
        <f t="array" aca="1" ref="I2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J23" s="14" t="e">
        <f t="array" aca="1" ref="J2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K23" s="14" t="e">
        <f t="array" aca="1" ref="K2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</row>
    <row r="24" spans="3:11">
      <c r="C24" s="4" t="s">
        <v>8858</v>
      </c>
      <c r="D24" s="5" t="s">
        <v>48</v>
      </c>
      <c r="E24" s="3"/>
      <c r="F24" s="14" t="e">
        <f t="array" aca="1" ref="F2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G24" s="14" t="e">
        <f t="array" aca="1" ref="G2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H24" s="14" t="e">
        <f t="array" aca="1" ref="H2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I24" s="14" t="e">
        <f t="array" aca="1" ref="I2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J24" s="14" t="e">
        <f t="array" aca="1" ref="J2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K24" s="14" t="e">
        <f t="array" aca="1" ref="K2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</row>
    <row r="25" spans="3:11">
      <c r="C25" s="4" t="s">
        <v>8870</v>
      </c>
      <c r="D25" s="37" t="s">
        <v>8886</v>
      </c>
      <c r="E25" s="8"/>
      <c r="F25" s="14" t="e">
        <f t="array" aca="1" ref="F2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G25" s="14" t="e">
        <f t="array" aca="1" ref="G2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H25" s="14" t="e">
        <f t="array" aca="1" ref="H2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I25" s="14" t="e">
        <f t="array" aca="1" ref="I2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J25" s="14" t="e">
        <f t="array" aca="1" ref="J2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K25" s="14" t="e">
        <f t="array" aca="1" ref="K2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</row>
    <row r="26" spans="3:11">
      <c r="C26" s="4" t="s">
        <v>8871</v>
      </c>
      <c r="D26" s="37" t="s">
        <v>8887</v>
      </c>
      <c r="E26" s="3"/>
      <c r="F26" s="14" t="e">
        <f t="array" aca="1" ref="F2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G26" s="14" t="e">
        <f t="array" aca="1" ref="G2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H26" s="14" t="e">
        <f t="array" aca="1" ref="H2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I26" s="14" t="e">
        <f t="array" aca="1" ref="I2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J26" s="14" t="e">
        <f t="array" aca="1" ref="J2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K26" s="14" t="e">
        <f t="array" aca="1" ref="K2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</row>
    <row r="27" spans="3:11">
      <c r="C27" s="4" t="s">
        <v>8872</v>
      </c>
      <c r="D27" s="37" t="s">
        <v>8880</v>
      </c>
      <c r="E27" s="3"/>
      <c r="F27" s="14" t="e">
        <f t="array" aca="1" ref="F2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G27" s="14" t="e">
        <f t="array" aca="1" ref="G2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H27" s="14" t="e">
        <f t="array" aca="1" ref="H2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I27" s="14" t="e">
        <f t="array" aca="1" ref="I2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J27" s="14" t="e">
        <f t="array" aca="1" ref="J2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K27" s="14" t="e">
        <f t="array" aca="1" ref="K2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</row>
    <row r="28" spans="3:11">
      <c r="C28" s="4" t="s">
        <v>8859</v>
      </c>
      <c r="D28" s="5" t="s">
        <v>49</v>
      </c>
      <c r="E28" s="8"/>
      <c r="F28" s="14" t="e">
        <f t="array" aca="1" ref="F2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G28" s="14" t="e">
        <f t="array" aca="1" ref="G2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H28" s="14" t="e">
        <f t="array" aca="1" ref="H2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I28" s="14" t="e">
        <f t="array" aca="1" ref="I2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J28" s="14" t="e">
        <f t="array" aca="1" ref="J2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K28" s="14" t="e">
        <f t="array" aca="1" ref="K2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</row>
    <row r="29" spans="3:11">
      <c r="C29" s="4" t="s">
        <v>8860</v>
      </c>
      <c r="D29" s="5" t="s">
        <v>50</v>
      </c>
      <c r="E29" s="3"/>
      <c r="F29" s="14" t="e">
        <f t="array" aca="1" ref="F2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G29" s="14" t="e">
        <f t="array" aca="1" ref="G2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H29" s="14" t="e">
        <f t="array" aca="1" ref="H2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I29" s="14" t="e">
        <f t="array" aca="1" ref="I2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J29" s="14" t="e">
        <f t="array" aca="1" ref="J2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K29" s="14" t="e">
        <f t="array" aca="1" ref="K2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</row>
    <row r="30" spans="3:11">
      <c r="C30" s="4" t="s">
        <v>8861</v>
      </c>
      <c r="D30" s="5" t="s">
        <v>51</v>
      </c>
      <c r="E30" s="3"/>
      <c r="F30" s="14" t="e">
        <f t="array" aca="1" ref="F3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G30" s="14" t="e">
        <f t="array" aca="1" ref="G3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H30" s="14" t="e">
        <f t="array" aca="1" ref="H3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I30" s="14" t="e">
        <f t="array" aca="1" ref="I3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J30" s="14" t="e">
        <f t="array" aca="1" ref="J3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K30" s="14" t="e">
        <f t="array" aca="1" ref="K3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</row>
  </sheetData>
  <phoneticPr fontId="12" type="noConversion"/>
  <hyperlinks>
    <hyperlink ref="A1" location="총괄!A1" display="포괄손익계산서, 기능별 분류(세후기타포괄손익) - 연결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471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4471" r:id="rId3" name="ComboBox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24"/>
  <sheetViews>
    <sheetView workbookViewId="0">
      <selection activeCell="A2" sqref="A2"/>
    </sheetView>
  </sheetViews>
  <sheetFormatPr defaultRowHeight="16.5"/>
  <cols>
    <col min="1" max="1" width="17" style="19" customWidth="1"/>
    <col min="2" max="2" width="18.625" style="19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5332</v>
      </c>
      <c r="K1" s="2" t="s">
        <v>8</v>
      </c>
    </row>
    <row r="2" spans="1:11">
      <c r="A2" s="11" t="s">
        <v>5313</v>
      </c>
      <c r="B2" s="11" t="s">
        <v>5309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 t="str">
        <f>총괄!B1</f>
        <v>[000140]</v>
      </c>
      <c r="B3" s="12" t="str">
        <f>총괄!D1</f>
        <v>하이트진로홀딩스</v>
      </c>
      <c r="C3" s="10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총괄!H15</f>
        <v>#REF!</v>
      </c>
      <c r="B4" s="36" t="str">
        <f ca="1">총괄!I15</f>
        <v/>
      </c>
      <c r="C4" s="4" t="s">
        <v>8846</v>
      </c>
      <c r="D4" s="5" t="s">
        <v>28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20" t="s">
        <v>5308</v>
      </c>
      <c r="B5" s="21" t="s">
        <v>5333</v>
      </c>
      <c r="C5" s="18" t="s">
        <v>8847</v>
      </c>
      <c r="D5" s="5" t="s">
        <v>29</v>
      </c>
      <c r="E5" s="3" t="s">
        <v>12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3" t="s">
        <v>5334</v>
      </c>
      <c r="B6" s="15" t="e">
        <f ca="1">G5/G4</f>
        <v>#REF!</v>
      </c>
      <c r="C6" s="4" t="s">
        <v>8848</v>
      </c>
      <c r="D6" s="5" t="s">
        <v>30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A7" s="13" t="s">
        <v>5335</v>
      </c>
      <c r="B7" s="15" t="e">
        <f ca="1">G6/G4</f>
        <v>#REF!</v>
      </c>
      <c r="C7" s="4" t="s">
        <v>31</v>
      </c>
      <c r="D7" s="5" t="s">
        <v>32</v>
      </c>
      <c r="E7" s="3" t="s">
        <v>12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A8" s="13" t="s">
        <v>5336</v>
      </c>
      <c r="B8" s="15" t="e">
        <f ca="1">G7/G4</f>
        <v>#REF!</v>
      </c>
      <c r="C8" s="4" t="s">
        <v>33</v>
      </c>
      <c r="D8" s="5" t="s">
        <v>34</v>
      </c>
      <c r="E8" s="3" t="s">
        <v>11</v>
      </c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  <row r="9" spans="1:11">
      <c r="A9" s="17" t="s">
        <v>5337</v>
      </c>
      <c r="B9" s="15" t="e">
        <f ca="1">G8/G4</f>
        <v>#REF!</v>
      </c>
      <c r="C9" s="4" t="s">
        <v>35</v>
      </c>
      <c r="D9" s="5" t="s">
        <v>36</v>
      </c>
      <c r="E9" s="3" t="s">
        <v>11</v>
      </c>
      <c r="F9" s="14" t="e">
        <f t="array" aca="1" ref="F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G9" s="14" t="e">
        <f t="array" aca="1" ref="G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H9" s="14" t="e">
        <f t="array" aca="1" ref="H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I9" s="14" t="e">
        <f t="array" aca="1" ref="I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J9" s="14" t="e">
        <f t="array" aca="1" ref="J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K9" s="14" t="e">
        <f t="array" aca="1" ref="K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</row>
    <row r="10" spans="1:11">
      <c r="A10" s="13" t="s">
        <v>5338</v>
      </c>
      <c r="B10" s="16" t="e">
        <f ca="1">G17/G4</f>
        <v>#REF!</v>
      </c>
      <c r="C10" s="4" t="s">
        <v>37</v>
      </c>
      <c r="D10" s="5" t="s">
        <v>38</v>
      </c>
      <c r="E10" s="3" t="s">
        <v>12</v>
      </c>
      <c r="F10" s="14" t="e">
        <f t="array" aca="1" ref="F1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G10" s="14" t="e">
        <f t="array" aca="1" ref="G1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H10" s="14" t="e">
        <f t="array" aca="1" ref="H1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I10" s="14" t="e">
        <f t="array" aca="1" ref="I1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J10" s="14" t="e">
        <f t="array" aca="1" ref="J1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K10" s="14" t="e">
        <f t="array" aca="1" ref="K1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</row>
    <row r="11" spans="1:11">
      <c r="C11" s="4" t="s">
        <v>8849</v>
      </c>
      <c r="D11" s="5" t="s">
        <v>39</v>
      </c>
      <c r="E11" s="3" t="s">
        <v>11</v>
      </c>
      <c r="F11" s="14" t="e">
        <f t="array" aca="1" ref="F1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G11" s="14" t="e">
        <f t="array" aca="1" ref="G1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H11" s="14" t="e">
        <f t="array" aca="1" ref="H1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I11" s="14" t="e">
        <f t="array" aca="1" ref="I1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J11" s="14" t="e">
        <f t="array" aca="1" ref="J1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K11" s="14" t="e">
        <f t="array" aca="1" ref="K1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</row>
    <row r="12" spans="1:11">
      <c r="C12" s="4" t="s">
        <v>8850</v>
      </c>
      <c r="D12" s="5" t="s">
        <v>40</v>
      </c>
      <c r="E12" s="3" t="s">
        <v>12</v>
      </c>
      <c r="F12" s="14" t="e">
        <f t="array" aca="1" ref="F1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G12" s="14" t="e">
        <f t="array" aca="1" ref="G1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H12" s="14" t="e">
        <f t="array" aca="1" ref="H1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I12" s="14" t="e">
        <f t="array" aca="1" ref="I1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J12" s="14" t="e">
        <f t="array" aca="1" ref="J1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K12" s="14" t="e">
        <f t="array" aca="1" ref="K1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</row>
    <row r="13" spans="1:11">
      <c r="C13" s="4" t="s">
        <v>8851</v>
      </c>
      <c r="D13" s="5" t="s">
        <v>41</v>
      </c>
      <c r="E13" s="3" t="s">
        <v>11</v>
      </c>
      <c r="F13" s="14" t="e">
        <f t="array" aca="1" ref="F1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G13" s="14" t="e">
        <f t="array" aca="1" ref="G1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H13" s="14" t="e">
        <f t="array" aca="1" ref="H1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I13" s="14" t="e">
        <f t="array" aca="1" ref="I1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J13" s="14" t="e">
        <f t="array" aca="1" ref="J1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K13" s="14" t="e">
        <f t="array" aca="1" ref="K1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</row>
    <row r="14" spans="1:11">
      <c r="C14" s="4" t="s">
        <v>8852</v>
      </c>
      <c r="D14" s="5" t="s">
        <v>42</v>
      </c>
      <c r="E14" s="3" t="s">
        <v>12</v>
      </c>
      <c r="F14" s="14" t="e">
        <f t="array" aca="1" ref="F1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G14" s="14" t="e">
        <f t="array" aca="1" ref="G1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H14" s="14" t="e">
        <f t="array" aca="1" ref="H1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I14" s="14" t="e">
        <f t="array" aca="1" ref="I1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J14" s="14" t="e">
        <f t="array" aca="1" ref="J1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K14" s="14" t="e">
        <f t="array" aca="1" ref="K1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</row>
    <row r="15" spans="1:11">
      <c r="C15" s="4" t="s">
        <v>8853</v>
      </c>
      <c r="D15" s="5" t="s">
        <v>43</v>
      </c>
      <c r="E15" s="3" t="s">
        <v>11</v>
      </c>
      <c r="F15" s="14" t="e">
        <f t="array" aca="1" ref="F1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G15" s="14" t="e">
        <f t="array" aca="1" ref="G1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H15" s="14" t="e">
        <f t="array" aca="1" ref="H1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I15" s="14" t="e">
        <f t="array" aca="1" ref="I1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J15" s="14" t="e">
        <f t="array" aca="1" ref="J1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K15" s="14" t="e">
        <f t="array" aca="1" ref="K1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</row>
    <row r="16" spans="1:11">
      <c r="C16" s="4" t="s">
        <v>8854</v>
      </c>
      <c r="D16" s="5" t="s">
        <v>44</v>
      </c>
      <c r="E16" s="3" t="s">
        <v>11</v>
      </c>
      <c r="F16" s="14" t="e">
        <f t="array" aca="1" ref="F1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G16" s="14" t="e">
        <f t="array" aca="1" ref="G1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H16" s="14" t="e">
        <f t="array" aca="1" ref="H1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I16" s="14" t="e">
        <f t="array" aca="1" ref="I1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J16" s="14" t="e">
        <f t="array" aca="1" ref="J1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K16" s="14" t="e">
        <f t="array" aca="1" ref="K1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</row>
    <row r="17" spans="3:11">
      <c r="C17" s="4" t="s">
        <v>8855</v>
      </c>
      <c r="D17" s="5" t="s">
        <v>45</v>
      </c>
      <c r="E17" s="3" t="s">
        <v>11</v>
      </c>
      <c r="F17" s="14" t="e">
        <f t="array" aca="1" ref="F1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G17" s="14" t="e">
        <f t="array" aca="1" ref="G1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H17" s="14" t="e">
        <f t="array" aca="1" ref="H1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I17" s="14" t="e">
        <f t="array" aca="1" ref="I1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J17" s="14" t="e">
        <f t="array" aca="1" ref="J1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K17" s="14" t="e">
        <f t="array" aca="1" ref="K1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</row>
    <row r="18" spans="3:11">
      <c r="C18" s="4" t="s">
        <v>8868</v>
      </c>
      <c r="D18" s="5" t="s">
        <v>52</v>
      </c>
      <c r="E18" s="3" t="s">
        <v>11</v>
      </c>
      <c r="F18" s="14" t="e">
        <f t="array" aca="1" ref="F1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G18" s="14" t="e">
        <f t="array" aca="1" ref="G1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H18" s="14" t="e">
        <f t="array" aca="1" ref="H1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I18" s="14" t="e">
        <f t="array" aca="1" ref="I1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J18" s="14" t="e">
        <f t="array" aca="1" ref="J1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K18" s="14" t="e">
        <f t="array" aca="1" ref="K1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</row>
    <row r="19" spans="3:11">
      <c r="C19" s="4" t="s">
        <v>53</v>
      </c>
      <c r="D19" s="37" t="s">
        <v>8888</v>
      </c>
      <c r="E19" s="3" t="s">
        <v>11</v>
      </c>
      <c r="F19" s="14" t="e">
        <f t="array" aca="1" ref="F1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G19" s="14" t="e">
        <f t="array" aca="1" ref="G1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H19" s="14" t="e">
        <f t="array" aca="1" ref="H1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I19" s="14" t="e">
        <f t="array" aca="1" ref="I1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J19" s="14" t="e">
        <f t="array" aca="1" ref="J1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K19" s="14" t="e">
        <f t="array" aca="1" ref="K1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</row>
    <row r="20" spans="3:11">
      <c r="C20" s="4" t="s">
        <v>54</v>
      </c>
      <c r="D20" s="37" t="s">
        <v>8889</v>
      </c>
      <c r="E20" s="3" t="s">
        <v>11</v>
      </c>
      <c r="F20" s="14" t="e">
        <f t="array" aca="1" ref="F2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G20" s="14" t="e">
        <f t="array" aca="1" ref="G2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H20" s="14" t="e">
        <f t="array" aca="1" ref="H2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I20" s="14" t="e">
        <f t="array" aca="1" ref="I2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J20" s="14" t="e">
        <f t="array" aca="1" ref="J2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K20" s="14" t="e">
        <f t="array" aca="1" ref="K2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</row>
    <row r="21" spans="3:11">
      <c r="C21" s="4" t="s">
        <v>8869</v>
      </c>
      <c r="D21" s="5" t="s">
        <v>55</v>
      </c>
      <c r="E21" s="3"/>
      <c r="F21" s="14" t="e">
        <f t="array" aca="1" ref="F2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G21" s="14" t="e">
        <f t="array" aca="1" ref="G2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H21" s="14" t="e">
        <f t="array" aca="1" ref="H2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I21" s="14" t="e">
        <f t="array" aca="1" ref="I2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J21" s="14" t="e">
        <f t="array" aca="1" ref="J2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K21" s="14" t="e">
        <f t="array" aca="1" ref="K2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</row>
    <row r="22" spans="3:11">
      <c r="C22" s="4" t="s">
        <v>8859</v>
      </c>
      <c r="D22" s="5" t="s">
        <v>49</v>
      </c>
      <c r="E22" s="8"/>
      <c r="F22" s="14" t="e">
        <f t="array" aca="1" ref="F2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G22" s="14" t="e">
        <f t="array" aca="1" ref="G2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H22" s="14" t="e">
        <f t="array" aca="1" ref="H2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I22" s="14" t="e">
        <f t="array" aca="1" ref="I2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J22" s="14" t="e">
        <f t="array" aca="1" ref="J2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K22" s="14" t="e">
        <f t="array" aca="1" ref="K2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</row>
    <row r="23" spans="3:11">
      <c r="C23" s="4" t="s">
        <v>8860</v>
      </c>
      <c r="D23" s="5" t="s">
        <v>50</v>
      </c>
      <c r="E23" s="3"/>
      <c r="F23" s="14" t="e">
        <f t="array" aca="1" ref="F2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G23" s="14" t="e">
        <f t="array" aca="1" ref="G2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H23" s="14" t="e">
        <f t="array" aca="1" ref="H2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I23" s="14" t="e">
        <f t="array" aca="1" ref="I2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J23" s="14" t="e">
        <f t="array" aca="1" ref="J2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K23" s="14" t="e">
        <f t="array" aca="1" ref="K2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</row>
    <row r="24" spans="3:11">
      <c r="C24" s="4" t="s">
        <v>8861</v>
      </c>
      <c r="D24" s="5" t="s">
        <v>51</v>
      </c>
      <c r="E24" s="3"/>
      <c r="F24" s="14" t="e">
        <f t="array" aca="1" ref="F2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G24" s="14" t="e">
        <f t="array" aca="1" ref="G2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H24" s="14" t="e">
        <f t="array" aca="1" ref="H2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I24" s="14" t="e">
        <f t="array" aca="1" ref="I2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J24" s="14" t="e">
        <f t="array" aca="1" ref="J2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K24" s="14" t="e">
        <f t="array" aca="1" ref="K2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</row>
  </sheetData>
  <phoneticPr fontId="12" type="noConversion"/>
  <hyperlinks>
    <hyperlink ref="A1" location="총괄!A1" display="포괄손익계산서, 기능별 분류(세후기타포괄손익) - 별도재무제표"/>
  </hyperlink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" r:id="rId4" name="ComboBox1">
          <controlPr defaultSize="0" autoLine="0" listFillRange="회사코드!#REF!" r:id="rId5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5491" r:id="rId4" name="ComboBox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K32"/>
  <sheetViews>
    <sheetView workbookViewId="0">
      <selection activeCell="A2" sqref="A2"/>
    </sheetView>
  </sheetViews>
  <sheetFormatPr defaultRowHeight="16.5"/>
  <cols>
    <col min="1" max="1" width="19.75" style="23" customWidth="1"/>
    <col min="2" max="2" width="21.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8389</v>
      </c>
      <c r="K1" s="2" t="s">
        <v>8</v>
      </c>
    </row>
    <row r="2" spans="1:11">
      <c r="A2" s="11" t="s">
        <v>8915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 t="str">
        <f>총괄!B1</f>
        <v>[000140]</v>
      </c>
      <c r="B3" s="12" t="str">
        <f>총괄!D1</f>
        <v>하이트진로홀딩스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총괄!H16</f>
        <v>#REF!</v>
      </c>
      <c r="B4" s="36" t="str">
        <f ca="1">총괄!I16</f>
        <v/>
      </c>
      <c r="C4" s="4" t="s">
        <v>8846</v>
      </c>
      <c r="D4" s="5" t="s">
        <v>28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8430</v>
      </c>
      <c r="B5" s="6" t="s">
        <v>8434</v>
      </c>
      <c r="C5" s="4" t="s">
        <v>8847</v>
      </c>
      <c r="D5" s="5" t="s">
        <v>29</v>
      </c>
      <c r="E5" s="3" t="s">
        <v>12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8435</v>
      </c>
      <c r="B6" s="30" t="e">
        <f ca="1">G5/G4</f>
        <v>#REF!</v>
      </c>
      <c r="C6" s="4" t="s">
        <v>8848</v>
      </c>
      <c r="D6" s="5" t="s">
        <v>30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A7" s="12" t="s">
        <v>8436</v>
      </c>
      <c r="B7" s="30" t="e">
        <f ca="1">G6/G4</f>
        <v>#REF!</v>
      </c>
      <c r="C7" s="4" t="s">
        <v>31</v>
      </c>
      <c r="D7" s="5" t="s">
        <v>32</v>
      </c>
      <c r="E7" s="3" t="s">
        <v>12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A8" s="12" t="s">
        <v>8437</v>
      </c>
      <c r="B8" s="30" t="e">
        <f ca="1">G7/G4</f>
        <v>#REF!</v>
      </c>
      <c r="C8" s="4" t="s">
        <v>33</v>
      </c>
      <c r="D8" s="5" t="s">
        <v>34</v>
      </c>
      <c r="E8" s="3" t="s">
        <v>11</v>
      </c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A9" s="12" t="s">
        <v>8438</v>
      </c>
      <c r="B9" s="30" t="e">
        <f ca="1">G8/G4</f>
        <v>#REF!</v>
      </c>
      <c r="C9" s="4" t="s">
        <v>35</v>
      </c>
      <c r="D9" s="5" t="s">
        <v>36</v>
      </c>
      <c r="E9" s="3" t="s">
        <v>11</v>
      </c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A10" s="12" t="s">
        <v>8439</v>
      </c>
      <c r="B10" s="30" t="e">
        <f ca="1">G17/G4</f>
        <v>#REF!</v>
      </c>
      <c r="C10" s="4" t="s">
        <v>37</v>
      </c>
      <c r="D10" s="5" t="s">
        <v>38</v>
      </c>
      <c r="E10" s="3" t="s">
        <v>12</v>
      </c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8849</v>
      </c>
      <c r="D11" s="5" t="s">
        <v>39</v>
      </c>
      <c r="E11" s="3" t="s">
        <v>11</v>
      </c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  <row r="12" spans="1:11">
      <c r="C12" s="4" t="s">
        <v>8850</v>
      </c>
      <c r="D12" s="5" t="s">
        <v>40</v>
      </c>
      <c r="E12" s="3" t="s">
        <v>12</v>
      </c>
      <c r="F12" s="14" t="e">
        <f t="array" aca="1" ref="F1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G12" s="14" t="e">
        <f t="array" aca="1" ref="G1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H12" s="14" t="e">
        <f t="array" aca="1" ref="H1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I12" s="14" t="e">
        <f t="array" aca="1" ref="I1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J12" s="14" t="e">
        <f t="array" aca="1" ref="J1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K12" s="14" t="e">
        <f t="array" aca="1" ref="K1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</row>
    <row r="13" spans="1:11">
      <c r="C13" s="4" t="s">
        <v>8851</v>
      </c>
      <c r="D13" s="5" t="s">
        <v>41</v>
      </c>
      <c r="E13" s="3" t="s">
        <v>11</v>
      </c>
      <c r="F13" s="14" t="e">
        <f t="array" aca="1" ref="F1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G13" s="14" t="e">
        <f t="array" aca="1" ref="G1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H13" s="14" t="e">
        <f t="array" aca="1" ref="H1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I13" s="14" t="e">
        <f t="array" aca="1" ref="I1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J13" s="14" t="e">
        <f t="array" aca="1" ref="J1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K13" s="14" t="e">
        <f t="array" aca="1" ref="K1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</row>
    <row r="14" spans="1:11">
      <c r="C14" s="4" t="s">
        <v>8852</v>
      </c>
      <c r="D14" s="5" t="s">
        <v>42</v>
      </c>
      <c r="E14" s="3" t="s">
        <v>12</v>
      </c>
      <c r="F14" s="14" t="e">
        <f t="array" aca="1" ref="F1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G14" s="14" t="e">
        <f t="array" aca="1" ref="G1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H14" s="14" t="e">
        <f t="array" aca="1" ref="H1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I14" s="14" t="e">
        <f t="array" aca="1" ref="I1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J14" s="14" t="e">
        <f t="array" aca="1" ref="J1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K14" s="14" t="e">
        <f t="array" aca="1" ref="K1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</row>
    <row r="15" spans="1:11">
      <c r="C15" s="4" t="s">
        <v>8853</v>
      </c>
      <c r="D15" s="5" t="s">
        <v>43</v>
      </c>
      <c r="E15" s="3" t="s">
        <v>11</v>
      </c>
      <c r="F15" s="14" t="e">
        <f t="array" aca="1" ref="F1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G15" s="14" t="e">
        <f t="array" aca="1" ref="G1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H15" s="14" t="e">
        <f t="array" aca="1" ref="H1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I15" s="14" t="e">
        <f t="array" aca="1" ref="I1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J15" s="14" t="e">
        <f t="array" aca="1" ref="J1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K15" s="14" t="e">
        <f t="array" aca="1" ref="K1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</row>
    <row r="16" spans="1:11">
      <c r="C16" s="4" t="s">
        <v>8854</v>
      </c>
      <c r="D16" s="5" t="s">
        <v>44</v>
      </c>
      <c r="E16" s="3" t="s">
        <v>11</v>
      </c>
      <c r="F16" s="14" t="e">
        <f t="array" aca="1" ref="F1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G16" s="14" t="e">
        <f t="array" aca="1" ref="G1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H16" s="14" t="e">
        <f t="array" aca="1" ref="H1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I16" s="14" t="e">
        <f t="array" aca="1" ref="I1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J16" s="14" t="e">
        <f t="array" aca="1" ref="J1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K16" s="14" t="e">
        <f t="array" aca="1" ref="K1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</row>
    <row r="17" spans="3:11">
      <c r="C17" s="4" t="s">
        <v>8855</v>
      </c>
      <c r="D17" s="5" t="s">
        <v>45</v>
      </c>
      <c r="E17" s="3" t="s">
        <v>11</v>
      </c>
      <c r="F17" s="14" t="e">
        <f t="array" aca="1" ref="F1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G17" s="14" t="e">
        <f t="array" aca="1" ref="G1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H17" s="14" t="e">
        <f t="array" aca="1" ref="H1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I17" s="14" t="e">
        <f t="array" aca="1" ref="I1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J17" s="14" t="e">
        <f t="array" aca="1" ref="J1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K17" s="14" t="e">
        <f t="array" aca="1" ref="K1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</row>
    <row r="18" spans="3:11">
      <c r="C18" s="4" t="s">
        <v>8868</v>
      </c>
      <c r="D18" s="5" t="s">
        <v>52</v>
      </c>
      <c r="E18" s="3" t="s">
        <v>11</v>
      </c>
      <c r="F18" s="14" t="e">
        <f t="array" aca="1" ref="F1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G18" s="14" t="e">
        <f t="array" aca="1" ref="G1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H18" s="14" t="e">
        <f t="array" aca="1" ref="H1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I18" s="14" t="e">
        <f t="array" aca="1" ref="I1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J18" s="14" t="e">
        <f t="array" aca="1" ref="J1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K18" s="14" t="e">
        <f t="array" aca="1" ref="K1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</row>
    <row r="19" spans="3:11">
      <c r="C19" s="4" t="s">
        <v>56</v>
      </c>
      <c r="D19" s="37" t="s">
        <v>8875</v>
      </c>
      <c r="E19" s="3" t="s">
        <v>11</v>
      </c>
      <c r="F19" s="14" t="e">
        <f t="array" aca="1" ref="F1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G19" s="14" t="e">
        <f t="array" aca="1" ref="G1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H19" s="14" t="e">
        <f t="array" aca="1" ref="H1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I19" s="14" t="e">
        <f t="array" aca="1" ref="I1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J19" s="14" t="e">
        <f t="array" aca="1" ref="J1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K19" s="14" t="e">
        <f t="array" aca="1" ref="K1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</row>
    <row r="20" spans="3:11">
      <c r="C20" s="4" t="s">
        <v>57</v>
      </c>
      <c r="D20" s="37" t="s">
        <v>8890</v>
      </c>
      <c r="E20" s="3" t="s">
        <v>11</v>
      </c>
      <c r="F20" s="14" t="e">
        <f t="array" aca="1" ref="F2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G20" s="14" t="e">
        <f t="array" aca="1" ref="G2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H20" s="14" t="e">
        <f t="array" aca="1" ref="H2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I20" s="14" t="e">
        <f t="array" aca="1" ref="I2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J20" s="14" t="e">
        <f t="array" aca="1" ref="J2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K20" s="14" t="e">
        <f t="array" aca="1" ref="K2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</row>
    <row r="21" spans="3:11">
      <c r="C21" s="4" t="s">
        <v>58</v>
      </c>
      <c r="D21" s="37" t="s">
        <v>8883</v>
      </c>
      <c r="E21" s="3" t="s">
        <v>12</v>
      </c>
      <c r="F21" s="14" t="e">
        <f t="array" aca="1" ref="F2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G21" s="14" t="e">
        <f t="array" aca="1" ref="G2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H21" s="14" t="e">
        <f t="array" aca="1" ref="H2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I21" s="14" t="e">
        <f t="array" aca="1" ref="I2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J21" s="14" t="e">
        <f t="array" aca="1" ref="J2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K21" s="14" t="e">
        <f t="array" aca="1" ref="K2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</row>
    <row r="22" spans="3:11">
      <c r="C22" s="4" t="s">
        <v>59</v>
      </c>
      <c r="D22" s="37" t="s">
        <v>8891</v>
      </c>
      <c r="E22" s="3" t="s">
        <v>12</v>
      </c>
      <c r="F22" s="14" t="e">
        <f t="array" aca="1" ref="F2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G22" s="14" t="e">
        <f t="array" aca="1" ref="G2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H22" s="14" t="e">
        <f t="array" aca="1" ref="H2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I22" s="14" t="e">
        <f t="array" aca="1" ref="I2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J22" s="14" t="e">
        <f t="array" aca="1" ref="J2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K22" s="14" t="e">
        <f t="array" aca="1" ref="K2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</row>
    <row r="23" spans="3:11">
      <c r="C23" s="4" t="s">
        <v>8869</v>
      </c>
      <c r="D23" s="5" t="s">
        <v>55</v>
      </c>
      <c r="E23" s="3"/>
      <c r="F23" s="14" t="e">
        <f t="array" aca="1" ref="F2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G23" s="14" t="e">
        <f t="array" aca="1" ref="G2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H23" s="14" t="e">
        <f t="array" aca="1" ref="H2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I23" s="14" t="e">
        <f t="array" aca="1" ref="I2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J23" s="14" t="e">
        <f t="array" aca="1" ref="J2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K23" s="14" t="e">
        <f t="array" aca="1" ref="K2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</row>
    <row r="24" spans="3:11">
      <c r="C24" s="4" t="s">
        <v>8856</v>
      </c>
      <c r="D24" s="5" t="s">
        <v>46</v>
      </c>
      <c r="E24" s="8"/>
      <c r="F24" s="14" t="e">
        <f t="array" aca="1" ref="F2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G24" s="14" t="e">
        <f t="array" aca="1" ref="G2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H24" s="14" t="e">
        <f t="array" aca="1" ref="H2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I24" s="14" t="e">
        <f t="array" aca="1" ref="I2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J24" s="14" t="e">
        <f t="array" aca="1" ref="J2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K24" s="14" t="e">
        <f t="array" aca="1" ref="K2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</row>
    <row r="25" spans="3:11">
      <c r="C25" s="4" t="s">
        <v>8857</v>
      </c>
      <c r="D25" s="5" t="s">
        <v>47</v>
      </c>
      <c r="E25" s="3"/>
      <c r="F25" s="14" t="e">
        <f t="array" aca="1" ref="F2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G25" s="14" t="e">
        <f t="array" aca="1" ref="G2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H25" s="14" t="e">
        <f t="array" aca="1" ref="H2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I25" s="14" t="e">
        <f t="array" aca="1" ref="I2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J25" s="14" t="e">
        <f t="array" aca="1" ref="J2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K25" s="14" t="e">
        <f t="array" aca="1" ref="K2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</row>
    <row r="26" spans="3:11">
      <c r="C26" s="4" t="s">
        <v>8858</v>
      </c>
      <c r="D26" s="5" t="s">
        <v>48</v>
      </c>
      <c r="E26" s="3"/>
      <c r="F26" s="14" t="e">
        <f t="array" aca="1" ref="F2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G26" s="14" t="e">
        <f t="array" aca="1" ref="G2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H26" s="14" t="e">
        <f t="array" aca="1" ref="H2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I26" s="14" t="e">
        <f t="array" aca="1" ref="I2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J26" s="14" t="e">
        <f t="array" aca="1" ref="J2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K26" s="14" t="e">
        <f t="array" aca="1" ref="K2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</row>
    <row r="27" spans="3:11">
      <c r="C27" s="4" t="s">
        <v>8870</v>
      </c>
      <c r="D27" s="37" t="s">
        <v>8892</v>
      </c>
      <c r="E27" s="8"/>
      <c r="F27" s="14" t="e">
        <f t="array" aca="1" ref="F2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G27" s="14" t="e">
        <f t="array" aca="1" ref="G2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H27" s="14" t="e">
        <f t="array" aca="1" ref="H2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I27" s="14" t="e">
        <f t="array" aca="1" ref="I2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J27" s="14" t="e">
        <f t="array" aca="1" ref="J2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K27" s="14" t="e">
        <f t="array" aca="1" ref="K2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</row>
    <row r="28" spans="3:11">
      <c r="C28" s="4" t="s">
        <v>8871</v>
      </c>
      <c r="D28" s="37" t="s">
        <v>8893</v>
      </c>
      <c r="E28" s="3"/>
      <c r="F28" s="14" t="e">
        <f t="array" aca="1" ref="F2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G28" s="14" t="e">
        <f t="array" aca="1" ref="G2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H28" s="14" t="e">
        <f t="array" aca="1" ref="H2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I28" s="14" t="e">
        <f t="array" aca="1" ref="I2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J28" s="14" t="e">
        <f t="array" aca="1" ref="J2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K28" s="14" t="e">
        <f t="array" aca="1" ref="K2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</row>
    <row r="29" spans="3:11">
      <c r="C29" s="4" t="s">
        <v>8872</v>
      </c>
      <c r="D29" s="37" t="s">
        <v>8894</v>
      </c>
      <c r="E29" s="3"/>
      <c r="F29" s="14" t="e">
        <f t="array" aca="1" ref="F2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G29" s="14" t="e">
        <f t="array" aca="1" ref="G2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H29" s="14" t="e">
        <f t="array" aca="1" ref="H2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I29" s="14" t="e">
        <f t="array" aca="1" ref="I2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J29" s="14" t="e">
        <f t="array" aca="1" ref="J2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K29" s="14" t="e">
        <f t="array" aca="1" ref="K2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</row>
    <row r="30" spans="3:11">
      <c r="C30" s="4" t="s">
        <v>8859</v>
      </c>
      <c r="D30" s="5" t="s">
        <v>49</v>
      </c>
      <c r="E30" s="8"/>
      <c r="F30" s="14" t="e">
        <f t="array" aca="1" ref="F3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G30" s="14" t="e">
        <f t="array" aca="1" ref="G3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H30" s="14" t="e">
        <f t="array" aca="1" ref="H3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I30" s="14" t="e">
        <f t="array" aca="1" ref="I3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J30" s="14" t="e">
        <f t="array" aca="1" ref="J3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  <c r="K30" s="14" t="e">
        <f t="array" aca="1" ref="K3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$B$4),"ifrs_","ifrs-full_")=$C30),0))</f>
        <v>#REF!</v>
      </c>
    </row>
    <row r="31" spans="3:11">
      <c r="C31" s="4" t="s">
        <v>8860</v>
      </c>
      <c r="D31" s="5" t="s">
        <v>50</v>
      </c>
      <c r="E31" s="3"/>
      <c r="F31" s="14" t="e">
        <f t="array" aca="1" ref="F3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  <c r="G31" s="14" t="e">
        <f t="array" aca="1" ref="G3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  <c r="H31" s="14" t="e">
        <f t="array" aca="1" ref="H3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  <c r="I31" s="14" t="e">
        <f t="array" aca="1" ref="I3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  <c r="J31" s="14" t="e">
        <f t="array" aca="1" ref="J3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  <c r="K31" s="14" t="e">
        <f t="array" aca="1" ref="K3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$B$4),"ifrs_","ifrs-full_")=$C31),0))</f>
        <v>#REF!</v>
      </c>
    </row>
    <row r="32" spans="3:11">
      <c r="C32" s="4" t="s">
        <v>8861</v>
      </c>
      <c r="D32" s="5" t="s">
        <v>51</v>
      </c>
      <c r="E32" s="3"/>
      <c r="F32" s="14" t="e">
        <f t="array" aca="1" ref="F3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  <c r="G32" s="14" t="e">
        <f t="array" aca="1" ref="G3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  <c r="H32" s="14" t="e">
        <f t="array" aca="1" ref="H3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  <c r="I32" s="14" t="e">
        <f t="array" aca="1" ref="I3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  <c r="J32" s="14" t="e">
        <f t="array" aca="1" ref="J3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  <c r="K32" s="14" t="e">
        <f t="array" aca="1" ref="K3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$B$4),"ifrs_","ifrs-full_")=$C32),0))</f>
        <v>#REF!</v>
      </c>
    </row>
  </sheetData>
  <phoneticPr fontId="12" type="noConversion"/>
  <hyperlinks>
    <hyperlink ref="A1" location="총괄!A1" display="포괄손익계산서, 기능별 분류(세전기타포괄손익) - 연결재무제표(선택)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534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6534" r:id="rId3" name="ComboBox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K26"/>
  <sheetViews>
    <sheetView workbookViewId="0">
      <selection activeCell="A2" sqref="A2"/>
    </sheetView>
  </sheetViews>
  <sheetFormatPr defaultRowHeight="16.5"/>
  <cols>
    <col min="1" max="1" width="19.125" style="23" customWidth="1"/>
    <col min="2" max="2" width="20.6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8384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 t="str">
        <f>총괄!B1</f>
        <v>[000140]</v>
      </c>
      <c r="B3" s="12" t="str">
        <f>총괄!D1</f>
        <v>하이트진로홀딩스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총괄!H17</f>
        <v>#REF!</v>
      </c>
      <c r="B4" s="36" t="str">
        <f ca="1">총괄!I17</f>
        <v/>
      </c>
      <c r="C4" s="4" t="s">
        <v>8846</v>
      </c>
      <c r="D4" s="5" t="s">
        <v>28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6" t="s">
        <v>8430</v>
      </c>
      <c r="B5" s="6" t="s">
        <v>8434</v>
      </c>
      <c r="C5" s="4" t="s">
        <v>8847</v>
      </c>
      <c r="D5" s="5" t="s">
        <v>29</v>
      </c>
      <c r="E5" s="3" t="s">
        <v>12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2" t="s">
        <v>8435</v>
      </c>
      <c r="B6" s="30" t="e">
        <f ca="1">G5/G4</f>
        <v>#REF!</v>
      </c>
      <c r="C6" s="4" t="s">
        <v>8848</v>
      </c>
      <c r="D6" s="5" t="s">
        <v>30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A7" s="12" t="s">
        <v>8436</v>
      </c>
      <c r="B7" s="30" t="e">
        <f ca="1">G6/G4</f>
        <v>#REF!</v>
      </c>
      <c r="C7" s="4" t="s">
        <v>31</v>
      </c>
      <c r="D7" s="5" t="s">
        <v>32</v>
      </c>
      <c r="E7" s="3" t="s">
        <v>12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A8" s="12" t="s">
        <v>8437</v>
      </c>
      <c r="B8" s="30" t="e">
        <f ca="1">G7/G4</f>
        <v>#REF!</v>
      </c>
      <c r="C8" s="4" t="s">
        <v>33</v>
      </c>
      <c r="D8" s="5" t="s">
        <v>34</v>
      </c>
      <c r="E8" s="3" t="s">
        <v>11</v>
      </c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  <row r="9" spans="1:11">
      <c r="A9" s="12" t="s">
        <v>8438</v>
      </c>
      <c r="B9" s="30" t="e">
        <f ca="1">G8/G4</f>
        <v>#REF!</v>
      </c>
      <c r="C9" s="4" t="s">
        <v>35</v>
      </c>
      <c r="D9" s="5" t="s">
        <v>36</v>
      </c>
      <c r="E9" s="3" t="s">
        <v>11</v>
      </c>
      <c r="F9" s="14" t="e">
        <f t="array" aca="1" ref="F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G9" s="14" t="e">
        <f t="array" aca="1" ref="G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H9" s="14" t="e">
        <f t="array" aca="1" ref="H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I9" s="14" t="e">
        <f t="array" aca="1" ref="I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J9" s="14" t="e">
        <f t="array" aca="1" ref="J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K9" s="14" t="e">
        <f t="array" aca="1" ref="K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</row>
    <row r="10" spans="1:11">
      <c r="A10" s="12" t="s">
        <v>8439</v>
      </c>
      <c r="B10" s="30" t="e">
        <f ca="1">G17/G4</f>
        <v>#REF!</v>
      </c>
      <c r="C10" s="4" t="s">
        <v>37</v>
      </c>
      <c r="D10" s="5" t="s">
        <v>38</v>
      </c>
      <c r="E10" s="3" t="s">
        <v>12</v>
      </c>
      <c r="F10" s="14" t="e">
        <f t="array" aca="1" ref="F1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G10" s="14" t="e">
        <f t="array" aca="1" ref="G1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H10" s="14" t="e">
        <f t="array" aca="1" ref="H1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I10" s="14" t="e">
        <f t="array" aca="1" ref="I1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J10" s="14" t="e">
        <f t="array" aca="1" ref="J1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K10" s="14" t="e">
        <f t="array" aca="1" ref="K1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</row>
    <row r="11" spans="1:11">
      <c r="C11" s="4" t="s">
        <v>8849</v>
      </c>
      <c r="D11" s="5" t="s">
        <v>39</v>
      </c>
      <c r="E11" s="3" t="s">
        <v>11</v>
      </c>
      <c r="F11" s="14" t="e">
        <f t="array" aca="1" ref="F1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G11" s="14" t="e">
        <f t="array" aca="1" ref="G1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H11" s="14" t="e">
        <f t="array" aca="1" ref="H1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I11" s="14" t="e">
        <f t="array" aca="1" ref="I1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J11" s="14" t="e">
        <f t="array" aca="1" ref="J1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K11" s="14" t="e">
        <f t="array" aca="1" ref="K1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</row>
    <row r="12" spans="1:11">
      <c r="C12" s="4" t="s">
        <v>8850</v>
      </c>
      <c r="D12" s="5" t="s">
        <v>40</v>
      </c>
      <c r="E12" s="3" t="s">
        <v>12</v>
      </c>
      <c r="F12" s="14" t="e">
        <f t="array" aca="1" ref="F1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G12" s="14" t="e">
        <f t="array" aca="1" ref="G1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H12" s="14" t="e">
        <f t="array" aca="1" ref="H1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I12" s="14" t="e">
        <f t="array" aca="1" ref="I1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J12" s="14" t="e">
        <f t="array" aca="1" ref="J1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K12" s="14" t="e">
        <f t="array" aca="1" ref="K1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</row>
    <row r="13" spans="1:11">
      <c r="C13" s="4" t="s">
        <v>8851</v>
      </c>
      <c r="D13" s="5" t="s">
        <v>41</v>
      </c>
      <c r="E13" s="3" t="s">
        <v>11</v>
      </c>
      <c r="F13" s="14" t="e">
        <f t="array" aca="1" ref="F1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G13" s="14" t="e">
        <f t="array" aca="1" ref="G1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H13" s="14" t="e">
        <f t="array" aca="1" ref="H1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I13" s="14" t="e">
        <f t="array" aca="1" ref="I1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J13" s="14" t="e">
        <f t="array" aca="1" ref="J1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K13" s="14" t="e">
        <f t="array" aca="1" ref="K1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</row>
    <row r="14" spans="1:11">
      <c r="C14" s="4" t="s">
        <v>8852</v>
      </c>
      <c r="D14" s="5" t="s">
        <v>42</v>
      </c>
      <c r="E14" s="3" t="s">
        <v>12</v>
      </c>
      <c r="F14" s="14" t="e">
        <f t="array" aca="1" ref="F1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G14" s="14" t="e">
        <f t="array" aca="1" ref="G1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H14" s="14" t="e">
        <f t="array" aca="1" ref="H1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I14" s="14" t="e">
        <f t="array" aca="1" ref="I1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J14" s="14" t="e">
        <f t="array" aca="1" ref="J1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K14" s="14" t="e">
        <f t="array" aca="1" ref="K1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</row>
    <row r="15" spans="1:11">
      <c r="C15" s="4" t="s">
        <v>8853</v>
      </c>
      <c r="D15" s="5" t="s">
        <v>43</v>
      </c>
      <c r="E15" s="3" t="s">
        <v>11</v>
      </c>
      <c r="F15" s="14" t="e">
        <f t="array" aca="1" ref="F1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G15" s="14" t="e">
        <f t="array" aca="1" ref="G1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H15" s="14" t="e">
        <f t="array" aca="1" ref="H1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I15" s="14" t="e">
        <f t="array" aca="1" ref="I1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J15" s="14" t="e">
        <f t="array" aca="1" ref="J1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K15" s="14" t="e">
        <f t="array" aca="1" ref="K1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</row>
    <row r="16" spans="1:11">
      <c r="C16" s="4" t="s">
        <v>8854</v>
      </c>
      <c r="D16" s="5" t="s">
        <v>44</v>
      </c>
      <c r="E16" s="3" t="s">
        <v>11</v>
      </c>
      <c r="F16" s="14" t="e">
        <f t="array" aca="1" ref="F1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G16" s="14" t="e">
        <f t="array" aca="1" ref="G1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H16" s="14" t="e">
        <f t="array" aca="1" ref="H1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I16" s="14" t="e">
        <f t="array" aca="1" ref="I1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J16" s="14" t="e">
        <f t="array" aca="1" ref="J1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K16" s="14" t="e">
        <f t="array" aca="1" ref="K1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</row>
    <row r="17" spans="3:11">
      <c r="C17" s="4" t="s">
        <v>8855</v>
      </c>
      <c r="D17" s="5" t="s">
        <v>45</v>
      </c>
      <c r="E17" s="3" t="s">
        <v>11</v>
      </c>
      <c r="F17" s="14" t="e">
        <f t="array" aca="1" ref="F1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G17" s="14" t="e">
        <f t="array" aca="1" ref="G1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H17" s="14" t="e">
        <f t="array" aca="1" ref="H1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I17" s="14" t="e">
        <f t="array" aca="1" ref="I1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J17" s="14" t="e">
        <f t="array" aca="1" ref="J1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K17" s="14" t="e">
        <f t="array" aca="1" ref="K1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</row>
    <row r="18" spans="3:11">
      <c r="C18" s="4" t="s">
        <v>8868</v>
      </c>
      <c r="D18" s="5" t="s">
        <v>52</v>
      </c>
      <c r="E18" s="3" t="s">
        <v>11</v>
      </c>
      <c r="F18" s="14" t="e">
        <f t="array" aca="1" ref="F1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G18" s="14" t="e">
        <f t="array" aca="1" ref="G1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H18" s="14" t="e">
        <f t="array" aca="1" ref="H1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I18" s="14" t="e">
        <f t="array" aca="1" ref="I1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J18" s="14" t="e">
        <f t="array" aca="1" ref="J1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K18" s="14" t="e">
        <f t="array" aca="1" ref="K1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</row>
    <row r="19" spans="3:11">
      <c r="C19" s="4" t="s">
        <v>56</v>
      </c>
      <c r="D19" s="37" t="s">
        <v>8898</v>
      </c>
      <c r="E19" s="3" t="s">
        <v>11</v>
      </c>
      <c r="F19" s="14" t="e">
        <f t="array" aca="1" ref="F1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G19" s="14" t="e">
        <f t="array" aca="1" ref="G1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H19" s="14" t="e">
        <f t="array" aca="1" ref="H1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I19" s="14" t="e">
        <f t="array" aca="1" ref="I1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J19" s="14" t="e">
        <f t="array" aca="1" ref="J1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K19" s="14" t="e">
        <f t="array" aca="1" ref="K1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</row>
    <row r="20" spans="3:11">
      <c r="C20" s="4" t="s">
        <v>57</v>
      </c>
      <c r="D20" s="37" t="s">
        <v>8897</v>
      </c>
      <c r="E20" s="3" t="s">
        <v>11</v>
      </c>
      <c r="F20" s="14" t="e">
        <f t="array" aca="1" ref="F2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G20" s="14" t="e">
        <f t="array" aca="1" ref="G2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H20" s="14" t="e">
        <f t="array" aca="1" ref="H2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I20" s="14" t="e">
        <f t="array" aca="1" ref="I2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J20" s="14" t="e">
        <f t="array" aca="1" ref="J2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K20" s="14" t="e">
        <f t="array" aca="1" ref="K2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</row>
    <row r="21" spans="3:11">
      <c r="C21" s="4" t="s">
        <v>58</v>
      </c>
      <c r="D21" s="37" t="s">
        <v>8896</v>
      </c>
      <c r="E21" s="3" t="s">
        <v>12</v>
      </c>
      <c r="F21" s="14" t="e">
        <f t="array" aca="1" ref="F2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G21" s="14" t="e">
        <f t="array" aca="1" ref="G2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H21" s="14" t="e">
        <f t="array" aca="1" ref="H2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I21" s="14" t="e">
        <f t="array" aca="1" ref="I2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J21" s="14" t="e">
        <f t="array" aca="1" ref="J2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K21" s="14" t="e">
        <f t="array" aca="1" ref="K2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</row>
    <row r="22" spans="3:11">
      <c r="C22" s="4" t="s">
        <v>59</v>
      </c>
      <c r="D22" s="37" t="s">
        <v>8895</v>
      </c>
      <c r="E22" s="3" t="s">
        <v>12</v>
      </c>
      <c r="F22" s="14" t="e">
        <f t="array" aca="1" ref="F2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G22" s="14" t="e">
        <f t="array" aca="1" ref="G2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H22" s="14" t="e">
        <f t="array" aca="1" ref="H2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I22" s="14" t="e">
        <f t="array" aca="1" ref="I2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J22" s="14" t="e">
        <f t="array" aca="1" ref="J2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K22" s="14" t="e">
        <f t="array" aca="1" ref="K2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</row>
    <row r="23" spans="3:11">
      <c r="C23" s="4" t="s">
        <v>8869</v>
      </c>
      <c r="D23" s="5" t="s">
        <v>55</v>
      </c>
      <c r="E23" s="3"/>
      <c r="F23" s="14" t="e">
        <f t="array" aca="1" ref="F2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G23" s="14" t="e">
        <f t="array" aca="1" ref="G2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H23" s="14" t="e">
        <f t="array" aca="1" ref="H2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I23" s="14" t="e">
        <f t="array" aca="1" ref="I2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J23" s="14" t="e">
        <f t="array" aca="1" ref="J2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K23" s="14" t="e">
        <f t="array" aca="1" ref="K2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</row>
    <row r="24" spans="3:11">
      <c r="C24" s="4" t="s">
        <v>8859</v>
      </c>
      <c r="D24" s="5" t="s">
        <v>49</v>
      </c>
      <c r="E24" s="8"/>
      <c r="F24" s="14" t="e">
        <f t="array" aca="1" ref="F2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G24" s="14" t="e">
        <f t="array" aca="1" ref="G2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H24" s="14" t="e">
        <f t="array" aca="1" ref="H2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I24" s="14" t="e">
        <f t="array" aca="1" ref="I2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J24" s="14" t="e">
        <f t="array" aca="1" ref="J2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  <c r="K24" s="14" t="e">
        <f t="array" aca="1" ref="K2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$B$4),"ifrs_","ifrs-full_")=$C24),0))</f>
        <v>#REF!</v>
      </c>
    </row>
    <row r="25" spans="3:11">
      <c r="C25" s="4" t="s">
        <v>8860</v>
      </c>
      <c r="D25" s="5" t="s">
        <v>50</v>
      </c>
      <c r="E25" s="3"/>
      <c r="F25" s="14" t="e">
        <f t="array" aca="1" ref="F2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  <c r="G25" s="14" t="e">
        <f t="array" aca="1" ref="G2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  <c r="H25" s="14" t="e">
        <f t="array" aca="1" ref="H2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  <c r="I25" s="14" t="e">
        <f t="array" aca="1" ref="I2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  <c r="J25" s="14" t="e">
        <f t="array" aca="1" ref="J2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  <c r="K25" s="14" t="e">
        <f t="array" aca="1" ref="K2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$B$4),"ifrs_","ifrs-full_")=$C25),0))</f>
        <v>#REF!</v>
      </c>
    </row>
    <row r="26" spans="3:11">
      <c r="C26" s="4" t="s">
        <v>8861</v>
      </c>
      <c r="D26" s="5" t="s">
        <v>51</v>
      </c>
      <c r="E26" s="3"/>
      <c r="F26" s="14" t="e">
        <f t="array" aca="1" ref="F2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  <c r="G26" s="14" t="e">
        <f t="array" aca="1" ref="G2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  <c r="H26" s="14" t="e">
        <f t="array" aca="1" ref="H2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  <c r="I26" s="14" t="e">
        <f t="array" aca="1" ref="I2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  <c r="J26" s="14" t="e">
        <f t="array" aca="1" ref="J2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  <c r="K26" s="14" t="e">
        <f t="array" aca="1" ref="K2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$B$4),"ifrs_","ifrs-full_")=$C26),0))</f>
        <v>#REF!</v>
      </c>
    </row>
  </sheetData>
  <phoneticPr fontId="12" type="noConversion"/>
  <hyperlinks>
    <hyperlink ref="A1" location="총괄!A1" display="포괄손익계산서, 기능별 분류(세전기타포괄손익) - 별도재무제표(선택)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553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7553" r:id="rId3" name="ComboBox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K27"/>
  <sheetViews>
    <sheetView workbookViewId="0">
      <selection activeCell="A2" sqref="A2"/>
    </sheetView>
  </sheetViews>
  <sheetFormatPr defaultRowHeight="16.5"/>
  <cols>
    <col min="1" max="1" width="21.375" style="23" customWidth="1"/>
    <col min="2" max="2" width="22.62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8390</v>
      </c>
      <c r="K1" s="2" t="s">
        <v>8</v>
      </c>
    </row>
    <row r="2" spans="1:11">
      <c r="A2" s="29" t="s">
        <v>5346</v>
      </c>
      <c r="B2" s="28" t="s">
        <v>5347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 t="str">
        <f>총괄!B1</f>
        <v>[000140]</v>
      </c>
      <c r="B3" s="12" t="str">
        <f>총괄!D1</f>
        <v>하이트진로홀딩스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총괄!H18</f>
        <v>#REF!</v>
      </c>
      <c r="B4" s="36" t="str">
        <f ca="1">총괄!I18</f>
        <v/>
      </c>
      <c r="C4" s="4" t="s">
        <v>8846</v>
      </c>
      <c r="D4" s="5" t="s">
        <v>28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8430</v>
      </c>
      <c r="B5" s="6" t="s">
        <v>8434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8438</v>
      </c>
      <c r="B6" s="33" t="e">
        <f ca="1">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A7" s="12" t="s">
        <v>8439</v>
      </c>
      <c r="B7" s="33" t="e">
        <f ca="1">G14/G4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C8" s="4" t="s">
        <v>8849</v>
      </c>
      <c r="D8" s="5" t="s">
        <v>39</v>
      </c>
      <c r="E8" s="3" t="s">
        <v>11</v>
      </c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C9" s="4" t="s">
        <v>8850</v>
      </c>
      <c r="D9" s="5" t="s">
        <v>40</v>
      </c>
      <c r="E9" s="3" t="s">
        <v>12</v>
      </c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C10" s="4" t="s">
        <v>8851</v>
      </c>
      <c r="D10" s="5" t="s">
        <v>41</v>
      </c>
      <c r="E10" s="3" t="s">
        <v>11</v>
      </c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8852</v>
      </c>
      <c r="D11" s="5" t="s">
        <v>42</v>
      </c>
      <c r="E11" s="3" t="s">
        <v>12</v>
      </c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  <row r="12" spans="1:11">
      <c r="C12" s="4" t="s">
        <v>8853</v>
      </c>
      <c r="D12" s="5" t="s">
        <v>43</v>
      </c>
      <c r="E12" s="3" t="s">
        <v>11</v>
      </c>
      <c r="F12" s="14" t="e">
        <f t="array" aca="1" ref="F1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G12" s="14" t="e">
        <f t="array" aca="1" ref="G1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H12" s="14" t="e">
        <f t="array" aca="1" ref="H1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I12" s="14" t="e">
        <f t="array" aca="1" ref="I1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J12" s="14" t="e">
        <f t="array" aca="1" ref="J1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K12" s="14" t="e">
        <f t="array" aca="1" ref="K1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</row>
    <row r="13" spans="1:11">
      <c r="C13" s="4" t="s">
        <v>8854</v>
      </c>
      <c r="D13" s="5" t="s">
        <v>44</v>
      </c>
      <c r="E13" s="3" t="s">
        <v>11</v>
      </c>
      <c r="F13" s="14" t="e">
        <f t="array" aca="1" ref="F1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G13" s="14" t="e">
        <f t="array" aca="1" ref="G1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H13" s="14" t="e">
        <f t="array" aca="1" ref="H1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I13" s="14" t="e">
        <f t="array" aca="1" ref="I1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J13" s="14" t="e">
        <f t="array" aca="1" ref="J1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K13" s="14" t="e">
        <f t="array" aca="1" ref="K1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</row>
    <row r="14" spans="1:11">
      <c r="C14" s="4" t="s">
        <v>8855</v>
      </c>
      <c r="D14" s="5" t="s">
        <v>45</v>
      </c>
      <c r="E14" s="3" t="s">
        <v>11</v>
      </c>
      <c r="F14" s="14" t="e">
        <f t="array" aca="1" ref="F1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G14" s="14" t="e">
        <f t="array" aca="1" ref="G1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H14" s="14" t="e">
        <f t="array" aca="1" ref="H1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I14" s="14" t="e">
        <f t="array" aca="1" ref="I1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J14" s="14" t="e">
        <f t="array" aca="1" ref="J1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K14" s="14" t="e">
        <f t="array" aca="1" ref="K1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</row>
    <row r="15" spans="1:11">
      <c r="C15" s="4" t="s">
        <v>8868</v>
      </c>
      <c r="D15" s="5" t="s">
        <v>52</v>
      </c>
      <c r="E15" s="3" t="s">
        <v>11</v>
      </c>
      <c r="F15" s="14" t="e">
        <f t="array" aca="1" ref="F1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G15" s="14" t="e">
        <f t="array" aca="1" ref="G1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H15" s="14" t="e">
        <f t="array" aca="1" ref="H1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I15" s="14" t="e">
        <f t="array" aca="1" ref="I1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J15" s="14" t="e">
        <f t="array" aca="1" ref="J1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K15" s="14" t="e">
        <f t="array" aca="1" ref="K1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</row>
    <row r="16" spans="1:11">
      <c r="C16" s="4" t="s">
        <v>53</v>
      </c>
      <c r="D16" s="37" t="s">
        <v>8899</v>
      </c>
      <c r="E16" s="3" t="s">
        <v>11</v>
      </c>
      <c r="F16" s="14" t="e">
        <f t="array" aca="1" ref="F1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G16" s="14" t="e">
        <f t="array" aca="1" ref="G1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H16" s="14" t="e">
        <f t="array" aca="1" ref="H1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I16" s="14" t="e">
        <f t="array" aca="1" ref="I1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J16" s="14" t="e">
        <f t="array" aca="1" ref="J1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K16" s="14" t="e">
        <f t="array" aca="1" ref="K1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</row>
    <row r="17" spans="3:11">
      <c r="C17" s="4" t="s">
        <v>54</v>
      </c>
      <c r="D17" s="37" t="s">
        <v>8900</v>
      </c>
      <c r="E17" s="3" t="s">
        <v>11</v>
      </c>
      <c r="F17" s="14" t="e">
        <f t="array" aca="1" ref="F1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G17" s="14" t="e">
        <f t="array" aca="1" ref="G1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H17" s="14" t="e">
        <f t="array" aca="1" ref="H1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I17" s="14" t="e">
        <f t="array" aca="1" ref="I1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J17" s="14" t="e">
        <f t="array" aca="1" ref="J1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K17" s="14" t="e">
        <f t="array" aca="1" ref="K1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</row>
    <row r="18" spans="3:11">
      <c r="C18" s="4" t="s">
        <v>8869</v>
      </c>
      <c r="D18" s="5" t="s">
        <v>55</v>
      </c>
      <c r="E18" s="3"/>
      <c r="F18" s="14" t="e">
        <f t="array" aca="1" ref="F1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G18" s="14" t="e">
        <f t="array" aca="1" ref="G1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H18" s="14" t="e">
        <f t="array" aca="1" ref="H1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I18" s="14" t="e">
        <f t="array" aca="1" ref="I1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J18" s="14" t="e">
        <f t="array" aca="1" ref="J1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K18" s="14" t="e">
        <f t="array" aca="1" ref="K1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</row>
    <row r="19" spans="3:11">
      <c r="C19" s="4" t="s">
        <v>8856</v>
      </c>
      <c r="D19" s="5" t="s">
        <v>46</v>
      </c>
      <c r="E19" s="8"/>
      <c r="F19" s="14" t="e">
        <f t="array" aca="1" ref="F1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G19" s="14" t="e">
        <f t="array" aca="1" ref="G1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H19" s="14" t="e">
        <f t="array" aca="1" ref="H1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I19" s="14" t="e">
        <f t="array" aca="1" ref="I1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J19" s="14" t="e">
        <f t="array" aca="1" ref="J1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K19" s="14" t="e">
        <f t="array" aca="1" ref="K1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</row>
    <row r="20" spans="3:11">
      <c r="C20" s="4" t="s">
        <v>8857</v>
      </c>
      <c r="D20" s="5" t="s">
        <v>47</v>
      </c>
      <c r="E20" s="3"/>
      <c r="F20" s="14" t="e">
        <f t="array" aca="1" ref="F2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G20" s="14" t="e">
        <f t="array" aca="1" ref="G2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H20" s="14" t="e">
        <f t="array" aca="1" ref="H2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I20" s="14" t="e">
        <f t="array" aca="1" ref="I2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J20" s="14" t="e">
        <f t="array" aca="1" ref="J2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K20" s="14" t="e">
        <f t="array" aca="1" ref="K2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</row>
    <row r="21" spans="3:11">
      <c r="C21" s="4" t="s">
        <v>8858</v>
      </c>
      <c r="D21" s="5" t="s">
        <v>48</v>
      </c>
      <c r="E21" s="3"/>
      <c r="F21" s="14" t="e">
        <f t="array" aca="1" ref="F2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G21" s="14" t="e">
        <f t="array" aca="1" ref="G2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H21" s="14" t="e">
        <f t="array" aca="1" ref="H2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I21" s="14" t="e">
        <f t="array" aca="1" ref="I2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J21" s="14" t="e">
        <f t="array" aca="1" ref="J2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K21" s="14" t="e">
        <f t="array" aca="1" ref="K2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</row>
    <row r="22" spans="3:11">
      <c r="C22" s="4" t="s">
        <v>8870</v>
      </c>
      <c r="D22" s="37" t="s">
        <v>8865</v>
      </c>
      <c r="E22" s="8"/>
      <c r="F22" s="14" t="e">
        <f t="array" aca="1" ref="F2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G22" s="14" t="e">
        <f t="array" aca="1" ref="G2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H22" s="14" t="e">
        <f t="array" aca="1" ref="H2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I22" s="14" t="e">
        <f t="array" aca="1" ref="I2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J22" s="14" t="e">
        <f t="array" aca="1" ref="J2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K22" s="14" t="e">
        <f t="array" aca="1" ref="K2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</row>
    <row r="23" spans="3:11">
      <c r="C23" s="4" t="s">
        <v>8871</v>
      </c>
      <c r="D23" s="37" t="s">
        <v>8893</v>
      </c>
      <c r="E23" s="3"/>
      <c r="F23" s="14" t="e">
        <f t="array" aca="1" ref="F2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G23" s="14" t="e">
        <f t="array" aca="1" ref="G2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H23" s="14" t="e">
        <f t="array" aca="1" ref="H2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I23" s="14" t="e">
        <f t="array" aca="1" ref="I2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J23" s="14" t="e">
        <f t="array" aca="1" ref="J2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K23" s="14" t="e">
        <f t="array" aca="1" ref="K2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</row>
    <row r="24" spans="3:11">
      <c r="C24" s="4" t="s">
        <v>8872</v>
      </c>
      <c r="D24" s="37" t="s">
        <v>8880</v>
      </c>
      <c r="E24" s="3"/>
      <c r="F24" s="14" t="e">
        <f t="array" aca="1" ref="F2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G24" s="14" t="e">
        <f t="array" aca="1" ref="G2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H24" s="14" t="e">
        <f t="array" aca="1" ref="H2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I24" s="14" t="e">
        <f t="array" aca="1" ref="I2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J24" s="14" t="e">
        <f t="array" aca="1" ref="J2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K24" s="14" t="e">
        <f t="array" aca="1" ref="K2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</row>
    <row r="25" spans="3:11">
      <c r="C25" s="4" t="s">
        <v>8859</v>
      </c>
      <c r="D25" s="5" t="s">
        <v>49</v>
      </c>
      <c r="E25" s="8"/>
      <c r="F25" s="14" t="e">
        <f t="array" aca="1" ref="F2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G25" s="14" t="e">
        <f t="array" aca="1" ref="G2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H25" s="14" t="e">
        <f t="array" aca="1" ref="H2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I25" s="14" t="e">
        <f t="array" aca="1" ref="I2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J25" s="14" t="e">
        <f t="array" aca="1" ref="J2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K25" s="14" t="e">
        <f t="array" aca="1" ref="K2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</row>
    <row r="26" spans="3:11">
      <c r="C26" s="4" t="s">
        <v>8860</v>
      </c>
      <c r="D26" s="5" t="s">
        <v>50</v>
      </c>
      <c r="E26" s="3"/>
      <c r="F26" s="14" t="e">
        <f t="array" aca="1" ref="F2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G26" s="14" t="e">
        <f t="array" aca="1" ref="G2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H26" s="14" t="e">
        <f t="array" aca="1" ref="H2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I26" s="14" t="e">
        <f t="array" aca="1" ref="I2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J26" s="14" t="e">
        <f t="array" aca="1" ref="J2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K26" s="14" t="e">
        <f t="array" aca="1" ref="K2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</row>
    <row r="27" spans="3:11">
      <c r="C27" s="4" t="s">
        <v>8861</v>
      </c>
      <c r="D27" s="5" t="s">
        <v>51</v>
      </c>
      <c r="E27" s="3"/>
      <c r="F27" s="14" t="e">
        <f t="array" aca="1" ref="F2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G27" s="14" t="e">
        <f t="array" aca="1" ref="G2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H27" s="14" t="e">
        <f t="array" aca="1" ref="H2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I27" s="14" t="e">
        <f t="array" aca="1" ref="I2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J27" s="14" t="e">
        <f t="array" aca="1" ref="J2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K27" s="14" t="e">
        <f t="array" aca="1" ref="K2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</row>
  </sheetData>
  <phoneticPr fontId="12" type="noConversion"/>
  <hyperlinks>
    <hyperlink ref="A1" location="총괄!A1" display="포괄손익계산서, 성격별 분류(세후기타포괄손익) - 연결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541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8541" r:id="rId3" name="ComboBox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K21"/>
  <sheetViews>
    <sheetView workbookViewId="0">
      <selection activeCell="A2" sqref="A2"/>
    </sheetView>
  </sheetViews>
  <sheetFormatPr defaultRowHeight="16.5"/>
  <cols>
    <col min="1" max="1" width="16.625" style="23" customWidth="1"/>
    <col min="2" max="2" width="20.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8385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 t="str">
        <f>총괄!B1</f>
        <v>[000140]</v>
      </c>
      <c r="B3" s="12" t="str">
        <f>총괄!D1</f>
        <v>하이트진로홀딩스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총괄!H19</f>
        <v>#REF!</v>
      </c>
      <c r="B4" s="36" t="str">
        <f ca="1">총괄!I19</f>
        <v/>
      </c>
      <c r="C4" s="4" t="s">
        <v>8846</v>
      </c>
      <c r="D4" s="5" t="s">
        <v>28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6" t="s">
        <v>8430</v>
      </c>
      <c r="B5" s="6" t="s">
        <v>8434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2" t="s">
        <v>8438</v>
      </c>
      <c r="B6" s="12" t="e">
        <f ca="1">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A7" s="12" t="s">
        <v>8439</v>
      </c>
      <c r="B7" s="12" t="e">
        <f ca="1">G14/G4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C8" s="4" t="s">
        <v>8849</v>
      </c>
      <c r="D8" s="5" t="s">
        <v>39</v>
      </c>
      <c r="E8" s="3" t="s">
        <v>11</v>
      </c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  <row r="9" spans="1:11">
      <c r="C9" s="4" t="s">
        <v>8850</v>
      </c>
      <c r="D9" s="5" t="s">
        <v>40</v>
      </c>
      <c r="E9" s="3" t="s">
        <v>12</v>
      </c>
      <c r="F9" s="14" t="e">
        <f t="array" aca="1" ref="F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G9" s="14" t="e">
        <f t="array" aca="1" ref="G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H9" s="14" t="e">
        <f t="array" aca="1" ref="H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I9" s="14" t="e">
        <f t="array" aca="1" ref="I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J9" s="14" t="e">
        <f t="array" aca="1" ref="J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K9" s="14" t="e">
        <f t="array" aca="1" ref="K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</row>
    <row r="10" spans="1:11">
      <c r="C10" s="4" t="s">
        <v>8851</v>
      </c>
      <c r="D10" s="5" t="s">
        <v>41</v>
      </c>
      <c r="E10" s="3" t="s">
        <v>11</v>
      </c>
      <c r="F10" s="14" t="e">
        <f t="array" aca="1" ref="F1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G10" s="14" t="e">
        <f t="array" aca="1" ref="G1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H10" s="14" t="e">
        <f t="array" aca="1" ref="H1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I10" s="14" t="e">
        <f t="array" aca="1" ref="I1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J10" s="14" t="e">
        <f t="array" aca="1" ref="J1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K10" s="14" t="e">
        <f t="array" aca="1" ref="K1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</row>
    <row r="11" spans="1:11">
      <c r="C11" s="4" t="s">
        <v>8852</v>
      </c>
      <c r="D11" s="5" t="s">
        <v>42</v>
      </c>
      <c r="E11" s="3" t="s">
        <v>12</v>
      </c>
      <c r="F11" s="14" t="e">
        <f t="array" aca="1" ref="F1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G11" s="14" t="e">
        <f t="array" aca="1" ref="G1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H11" s="14" t="e">
        <f t="array" aca="1" ref="H1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I11" s="14" t="e">
        <f t="array" aca="1" ref="I1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J11" s="14" t="e">
        <f t="array" aca="1" ref="J1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K11" s="14" t="e">
        <f t="array" aca="1" ref="K1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</row>
    <row r="12" spans="1:11">
      <c r="C12" s="4" t="s">
        <v>8853</v>
      </c>
      <c r="D12" s="5" t="s">
        <v>43</v>
      </c>
      <c r="E12" s="3" t="s">
        <v>11</v>
      </c>
      <c r="F12" s="14" t="e">
        <f t="array" aca="1" ref="F1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G12" s="14" t="e">
        <f t="array" aca="1" ref="G1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H12" s="14" t="e">
        <f t="array" aca="1" ref="H1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I12" s="14" t="e">
        <f t="array" aca="1" ref="I1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J12" s="14" t="e">
        <f t="array" aca="1" ref="J1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K12" s="14" t="e">
        <f t="array" aca="1" ref="K1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</row>
    <row r="13" spans="1:11">
      <c r="C13" s="4" t="s">
        <v>8854</v>
      </c>
      <c r="D13" s="5" t="s">
        <v>44</v>
      </c>
      <c r="E13" s="3" t="s">
        <v>11</v>
      </c>
      <c r="F13" s="14" t="e">
        <f t="array" aca="1" ref="F1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G13" s="14" t="e">
        <f t="array" aca="1" ref="G1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H13" s="14" t="e">
        <f t="array" aca="1" ref="H1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I13" s="14" t="e">
        <f t="array" aca="1" ref="I1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J13" s="14" t="e">
        <f t="array" aca="1" ref="J1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K13" s="14" t="e">
        <f t="array" aca="1" ref="K1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</row>
    <row r="14" spans="1:11">
      <c r="C14" s="4" t="s">
        <v>8855</v>
      </c>
      <c r="D14" s="5" t="s">
        <v>45</v>
      </c>
      <c r="E14" s="3" t="s">
        <v>11</v>
      </c>
      <c r="F14" s="14" t="e">
        <f t="array" aca="1" ref="F1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G14" s="14" t="e">
        <f t="array" aca="1" ref="G1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H14" s="14" t="e">
        <f t="array" aca="1" ref="H1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I14" s="14" t="e">
        <f t="array" aca="1" ref="I1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J14" s="14" t="e">
        <f t="array" aca="1" ref="J1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K14" s="14" t="e">
        <f t="array" aca="1" ref="K1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</row>
    <row r="15" spans="1:11">
      <c r="C15" s="4" t="s">
        <v>8868</v>
      </c>
      <c r="D15" s="5" t="s">
        <v>52</v>
      </c>
      <c r="E15" s="3" t="s">
        <v>11</v>
      </c>
      <c r="F15" s="14" t="e">
        <f t="array" aca="1" ref="F1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G15" s="14" t="e">
        <f t="array" aca="1" ref="G1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H15" s="14" t="e">
        <f t="array" aca="1" ref="H1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I15" s="14" t="e">
        <f t="array" aca="1" ref="I1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J15" s="14" t="e">
        <f t="array" aca="1" ref="J1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K15" s="14" t="e">
        <f t="array" aca="1" ref="K1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</row>
    <row r="16" spans="1:11">
      <c r="C16" s="4" t="s">
        <v>53</v>
      </c>
      <c r="D16" s="37" t="s">
        <v>8901</v>
      </c>
      <c r="E16" s="3" t="s">
        <v>11</v>
      </c>
      <c r="F16" s="14" t="e">
        <f t="array" aca="1" ref="F1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G16" s="14" t="e">
        <f t="array" aca="1" ref="G1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H16" s="14" t="e">
        <f t="array" aca="1" ref="H1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I16" s="14" t="e">
        <f t="array" aca="1" ref="I1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J16" s="14" t="e">
        <f t="array" aca="1" ref="J1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K16" s="14" t="e">
        <f t="array" aca="1" ref="K1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</row>
    <row r="17" spans="3:11">
      <c r="C17" s="4" t="s">
        <v>54</v>
      </c>
      <c r="D17" s="37" t="s">
        <v>8902</v>
      </c>
      <c r="E17" s="3" t="s">
        <v>11</v>
      </c>
      <c r="F17" s="14" t="e">
        <f t="array" aca="1" ref="F1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G17" s="14" t="e">
        <f t="array" aca="1" ref="G1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H17" s="14" t="e">
        <f t="array" aca="1" ref="H1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I17" s="14" t="e">
        <f t="array" aca="1" ref="I1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J17" s="14" t="e">
        <f t="array" aca="1" ref="J1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K17" s="14" t="e">
        <f t="array" aca="1" ref="K1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</row>
    <row r="18" spans="3:11">
      <c r="C18" s="4" t="s">
        <v>8869</v>
      </c>
      <c r="D18" s="5" t="s">
        <v>55</v>
      </c>
      <c r="E18" s="3"/>
      <c r="F18" s="14" t="e">
        <f t="array" aca="1" ref="F1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G18" s="14" t="e">
        <f t="array" aca="1" ref="G1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H18" s="14" t="e">
        <f t="array" aca="1" ref="H1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I18" s="14" t="e">
        <f t="array" aca="1" ref="I1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J18" s="14" t="e">
        <f t="array" aca="1" ref="J1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K18" s="14" t="e">
        <f t="array" aca="1" ref="K1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</row>
    <row r="19" spans="3:11">
      <c r="C19" s="4" t="s">
        <v>8859</v>
      </c>
      <c r="D19" s="5" t="s">
        <v>49</v>
      </c>
      <c r="E19" s="8"/>
      <c r="F19" s="14" t="e">
        <f t="array" aca="1" ref="F1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G19" s="14" t="e">
        <f t="array" aca="1" ref="G1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H19" s="14" t="e">
        <f t="array" aca="1" ref="H1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I19" s="14" t="e">
        <f t="array" aca="1" ref="I1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J19" s="14" t="e">
        <f t="array" aca="1" ref="J1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K19" s="14" t="e">
        <f t="array" aca="1" ref="K1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</row>
    <row r="20" spans="3:11">
      <c r="C20" s="4" t="s">
        <v>8860</v>
      </c>
      <c r="D20" s="5" t="s">
        <v>50</v>
      </c>
      <c r="E20" s="3"/>
      <c r="F20" s="14" t="e">
        <f t="array" aca="1" ref="F2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G20" s="14" t="e">
        <f t="array" aca="1" ref="G2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H20" s="14" t="e">
        <f t="array" aca="1" ref="H2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I20" s="14" t="e">
        <f t="array" aca="1" ref="I2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J20" s="14" t="e">
        <f t="array" aca="1" ref="J2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K20" s="14" t="e">
        <f t="array" aca="1" ref="K2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</row>
    <row r="21" spans="3:11">
      <c r="C21" s="4" t="s">
        <v>8861</v>
      </c>
      <c r="D21" s="5" t="s">
        <v>51</v>
      </c>
      <c r="E21" s="3"/>
      <c r="F21" s="14" t="e">
        <f t="array" aca="1" ref="F2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G21" s="14" t="e">
        <f t="array" aca="1" ref="G2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H21" s="14" t="e">
        <f t="array" aca="1" ref="H2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I21" s="14" t="e">
        <f t="array" aca="1" ref="I2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J21" s="14" t="e">
        <f t="array" aca="1" ref="J2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K21" s="14" t="e">
        <f t="array" aca="1" ref="K2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</row>
  </sheetData>
  <phoneticPr fontId="12" type="noConversion"/>
  <hyperlinks>
    <hyperlink ref="A1" location="총괄!A1" display="포괄손익계산서, 성격별 분류(세후기타포괄손익) - 별도재무제표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560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9560" r:id="rId3" name="ComboBox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K29"/>
  <sheetViews>
    <sheetView workbookViewId="0">
      <selection activeCell="A2" sqref="A2"/>
    </sheetView>
  </sheetViews>
  <sheetFormatPr defaultRowHeight="16.5"/>
  <cols>
    <col min="1" max="2" width="22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8392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7</v>
      </c>
      <c r="G2" s="6"/>
      <c r="H2" s="6"/>
      <c r="I2" s="6"/>
      <c r="J2" s="6"/>
      <c r="K2" s="6"/>
    </row>
    <row r="3" spans="1:11" ht="24">
      <c r="A3" s="13" t="str">
        <f>총괄!B1</f>
        <v>[000140]</v>
      </c>
      <c r="B3" s="12" t="str">
        <f>총괄!D1</f>
        <v>하이트진로홀딩스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총괄!H20</f>
        <v>#REF!</v>
      </c>
      <c r="B4" s="36" t="str">
        <f ca="1">총괄!I20</f>
        <v/>
      </c>
      <c r="C4" s="4" t="s">
        <v>8846</v>
      </c>
      <c r="D4" s="5" t="s">
        <v>28</v>
      </c>
      <c r="E4" s="3" t="s">
        <v>11</v>
      </c>
      <c r="F4" s="14" t="e">
        <f t="array" aca="1" ref="F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G4" s="14" t="e">
        <f t="array" aca="1" ref="G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H4" s="14" t="e">
        <f t="array" aca="1" ref="H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I4" s="14" t="e">
        <f t="array" aca="1" ref="I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J4" s="14" t="e">
        <f t="array" aca="1" ref="J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  <c r="K4" s="14" t="e">
        <f t="array" aca="1" ref="K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$B$4),"ifrs_","ifrs-full_")=$C4),0))</f>
        <v>#REF!</v>
      </c>
    </row>
    <row r="5" spans="1:11">
      <c r="A5" s="6" t="s">
        <v>8430</v>
      </c>
      <c r="B5" s="6" t="s">
        <v>8434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G5" s="14" t="e">
        <f t="array" aca="1" ref="G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H5" s="14" t="e">
        <f t="array" aca="1" ref="H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I5" s="14" t="e">
        <f t="array" aca="1" ref="I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J5" s="14" t="e">
        <f t="array" aca="1" ref="J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  <c r="K5" s="14" t="e">
        <f t="array" aca="1" ref="K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$B$4),"ifrs_","ifrs-full_")=$C5),0))</f>
        <v>#REF!</v>
      </c>
    </row>
    <row r="6" spans="1:11">
      <c r="A6" s="12" t="s">
        <v>8438</v>
      </c>
      <c r="B6" s="12" t="e">
        <f ca="1">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G6" s="14" t="e">
        <f t="array" aca="1" ref="G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H6" s="14" t="e">
        <f t="array" aca="1" ref="H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I6" s="14" t="e">
        <f t="array" aca="1" ref="I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J6" s="14" t="e">
        <f t="array" aca="1" ref="J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  <c r="K6" s="14" t="e">
        <f t="array" aca="1" ref="K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$B$4),"ifrs_","ifrs-full_")=$C6),0))</f>
        <v>#REF!</v>
      </c>
    </row>
    <row r="7" spans="1:11">
      <c r="A7" s="12" t="s">
        <v>8439</v>
      </c>
      <c r="B7" s="12" t="e">
        <f ca="1">F14/F4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G7" s="14" t="e">
        <f t="array" aca="1" ref="G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H7" s="14" t="e">
        <f t="array" aca="1" ref="H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I7" s="14" t="e">
        <f t="array" aca="1" ref="I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J7" s="14" t="e">
        <f t="array" aca="1" ref="J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  <c r="K7" s="14" t="e">
        <f t="array" aca="1" ref="K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$B$4),"ifrs_","ifrs-full_")=$C7),0))</f>
        <v>#REF!</v>
      </c>
    </row>
    <row r="8" spans="1:11">
      <c r="C8" s="4" t="s">
        <v>8849</v>
      </c>
      <c r="D8" s="5" t="s">
        <v>39</v>
      </c>
      <c r="E8" s="3" t="s">
        <v>11</v>
      </c>
      <c r="F8" s="14" t="e">
        <f t="array" aca="1" ref="F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G8" s="14" t="e">
        <f t="array" aca="1" ref="G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H8" s="14" t="e">
        <f t="array" aca="1" ref="H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I8" s="14" t="e">
        <f t="array" aca="1" ref="I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J8" s="14" t="e">
        <f t="array" aca="1" ref="J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  <c r="K8" s="14" t="e">
        <f t="array" aca="1" ref="K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$B$4),"ifrs_","ifrs-full_")=$C8),0))</f>
        <v>#REF!</v>
      </c>
    </row>
    <row r="9" spans="1:11">
      <c r="C9" s="4" t="s">
        <v>8850</v>
      </c>
      <c r="D9" s="5" t="s">
        <v>40</v>
      </c>
      <c r="E9" s="3" t="s">
        <v>12</v>
      </c>
      <c r="F9" s="14" t="e">
        <f t="array" aca="1" ref="F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G9" s="14" t="e">
        <f t="array" aca="1" ref="G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H9" s="14" t="e">
        <f t="array" aca="1" ref="H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I9" s="14" t="e">
        <f t="array" aca="1" ref="I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J9" s="14" t="e">
        <f t="array" aca="1" ref="J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  <c r="K9" s="14" t="e">
        <f t="array" aca="1" ref="K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$B$4),"ifrs_","ifrs-full_")=$C9),0))</f>
        <v>#REF!</v>
      </c>
    </row>
    <row r="10" spans="1:11">
      <c r="C10" s="4" t="s">
        <v>8851</v>
      </c>
      <c r="D10" s="5" t="s">
        <v>41</v>
      </c>
      <c r="E10" s="3" t="s">
        <v>11</v>
      </c>
      <c r="F10" s="14" t="e">
        <f t="array" aca="1" ref="F1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G10" s="14" t="e">
        <f t="array" aca="1" ref="G1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H10" s="14" t="e">
        <f t="array" aca="1" ref="H1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I10" s="14" t="e">
        <f t="array" aca="1" ref="I1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J10" s="14" t="e">
        <f t="array" aca="1" ref="J1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  <c r="K10" s="14" t="e">
        <f t="array" aca="1" ref="K1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$B$4),"ifrs_","ifrs-full_")=$C10),0))</f>
        <v>#REF!</v>
      </c>
    </row>
    <row r="11" spans="1:11">
      <c r="C11" s="4" t="s">
        <v>8852</v>
      </c>
      <c r="D11" s="5" t="s">
        <v>42</v>
      </c>
      <c r="E11" s="3" t="s">
        <v>12</v>
      </c>
      <c r="F11" s="14" t="e">
        <f t="array" aca="1" ref="F1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G11" s="14" t="e">
        <f t="array" aca="1" ref="G1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H11" s="14" t="e">
        <f t="array" aca="1" ref="H1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I11" s="14" t="e">
        <f t="array" aca="1" ref="I1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J11" s="14" t="e">
        <f t="array" aca="1" ref="J1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  <c r="K11" s="14" t="e">
        <f t="array" aca="1" ref="K1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$B$4),"ifrs_","ifrs-full_")=$C11),0))</f>
        <v>#REF!</v>
      </c>
    </row>
    <row r="12" spans="1:11">
      <c r="C12" s="4" t="s">
        <v>8853</v>
      </c>
      <c r="D12" s="5" t="s">
        <v>43</v>
      </c>
      <c r="E12" s="3" t="s">
        <v>11</v>
      </c>
      <c r="F12" s="14" t="e">
        <f t="array" aca="1" ref="F1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G12" s="14" t="e">
        <f t="array" aca="1" ref="G1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H12" s="14" t="e">
        <f t="array" aca="1" ref="H1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I12" s="14" t="e">
        <f t="array" aca="1" ref="I1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J12" s="14" t="e">
        <f t="array" aca="1" ref="J1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  <c r="K12" s="14" t="e">
        <f t="array" aca="1" ref="K1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$B$4),"ifrs_","ifrs-full_")=$C12),0))</f>
        <v>#REF!</v>
      </c>
    </row>
    <row r="13" spans="1:11">
      <c r="C13" s="4" t="s">
        <v>8854</v>
      </c>
      <c r="D13" s="5" t="s">
        <v>44</v>
      </c>
      <c r="E13" s="3" t="s">
        <v>11</v>
      </c>
      <c r="F13" s="14" t="e">
        <f t="array" aca="1" ref="F1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G13" s="14" t="e">
        <f t="array" aca="1" ref="G1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H13" s="14" t="e">
        <f t="array" aca="1" ref="H1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I13" s="14" t="e">
        <f t="array" aca="1" ref="I1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J13" s="14" t="e">
        <f t="array" aca="1" ref="J1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  <c r="K13" s="14" t="e">
        <f t="array" aca="1" ref="K1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$B$4),"ifrs_","ifrs-full_")=$C13),0))</f>
        <v>#REF!</v>
      </c>
    </row>
    <row r="14" spans="1:11">
      <c r="C14" s="4" t="s">
        <v>8855</v>
      </c>
      <c r="D14" s="5" t="s">
        <v>45</v>
      </c>
      <c r="E14" s="3" t="s">
        <v>11</v>
      </c>
      <c r="F14" s="14" t="e">
        <f t="array" aca="1" ref="F1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G14" s="14" t="e">
        <f t="array" aca="1" ref="G1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H14" s="14" t="e">
        <f t="array" aca="1" ref="H1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I14" s="14" t="e">
        <f t="array" aca="1" ref="I1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J14" s="14" t="e">
        <f t="array" aca="1" ref="J1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  <c r="K14" s="14" t="e">
        <f t="array" aca="1" ref="K1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$B$4),"ifrs_","ifrs-full_")=$C14),0))</f>
        <v>#REF!</v>
      </c>
    </row>
    <row r="15" spans="1:11">
      <c r="C15" s="4" t="s">
        <v>8868</v>
      </c>
      <c r="D15" s="5" t="s">
        <v>52</v>
      </c>
      <c r="E15" s="3" t="s">
        <v>11</v>
      </c>
      <c r="F15" s="14" t="e">
        <f t="array" aca="1" ref="F1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G15" s="14" t="e">
        <f t="array" aca="1" ref="G1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H15" s="14" t="e">
        <f t="array" aca="1" ref="H1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I15" s="14" t="e">
        <f t="array" aca="1" ref="I1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J15" s="14" t="e">
        <f t="array" aca="1" ref="J1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  <c r="K15" s="14" t="e">
        <f t="array" aca="1" ref="K1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$B$4),"ifrs_","ifrs-full_")=$C15),0))</f>
        <v>#REF!</v>
      </c>
    </row>
    <row r="16" spans="1:11">
      <c r="C16" s="4" t="s">
        <v>56</v>
      </c>
      <c r="D16" s="37" t="s">
        <v>8881</v>
      </c>
      <c r="E16" s="3" t="s">
        <v>11</v>
      </c>
      <c r="F16" s="14" t="e">
        <f t="array" aca="1" ref="F1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G16" s="14" t="e">
        <f t="array" aca="1" ref="G1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H16" s="14" t="e">
        <f t="array" aca="1" ref="H1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I16" s="14" t="e">
        <f t="array" aca="1" ref="I1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J16" s="14" t="e">
        <f t="array" aca="1" ref="J1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  <c r="K16" s="14" t="e">
        <f t="array" aca="1" ref="K1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$B$4),"ifrs_","ifrs-full_")=$C16),0))</f>
        <v>#REF!</v>
      </c>
    </row>
    <row r="17" spans="3:11">
      <c r="C17" s="4" t="s">
        <v>57</v>
      </c>
      <c r="D17" s="37" t="s">
        <v>8903</v>
      </c>
      <c r="E17" s="3" t="s">
        <v>11</v>
      </c>
      <c r="F17" s="14" t="e">
        <f t="array" aca="1" ref="F1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G17" s="14" t="e">
        <f t="array" aca="1" ref="G1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H17" s="14" t="e">
        <f t="array" aca="1" ref="H1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I17" s="14" t="e">
        <f t="array" aca="1" ref="I1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J17" s="14" t="e">
        <f t="array" aca="1" ref="J1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  <c r="K17" s="14" t="e">
        <f t="array" aca="1" ref="K1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$B$4),"ifrs_","ifrs-full_")=$C17),0))</f>
        <v>#REF!</v>
      </c>
    </row>
    <row r="18" spans="3:11">
      <c r="C18" s="4" t="s">
        <v>58</v>
      </c>
      <c r="D18" s="37" t="s">
        <v>8904</v>
      </c>
      <c r="E18" s="3" t="s">
        <v>12</v>
      </c>
      <c r="F18" s="14" t="e">
        <f t="array" aca="1" ref="F1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G18" s="14" t="e">
        <f t="array" aca="1" ref="G1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H18" s="14" t="e">
        <f t="array" aca="1" ref="H1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I18" s="14" t="e">
        <f t="array" aca="1" ref="I1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J18" s="14" t="e">
        <f t="array" aca="1" ref="J1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  <c r="K18" s="14" t="e">
        <f t="array" aca="1" ref="K1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$B$4),"ifrs_","ifrs-full_")=$C18),0))</f>
        <v>#REF!</v>
      </c>
    </row>
    <row r="19" spans="3:11">
      <c r="C19" s="4" t="s">
        <v>59</v>
      </c>
      <c r="D19" s="37" t="s">
        <v>8905</v>
      </c>
      <c r="E19" s="3" t="s">
        <v>12</v>
      </c>
      <c r="F19" s="14" t="e">
        <f t="array" aca="1" ref="F1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G19" s="14" t="e">
        <f t="array" aca="1" ref="G1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H19" s="14" t="e">
        <f t="array" aca="1" ref="H1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I19" s="14" t="e">
        <f t="array" aca="1" ref="I1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J19" s="14" t="e">
        <f t="array" aca="1" ref="J1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  <c r="K19" s="14" t="e">
        <f t="array" aca="1" ref="K1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$B$4),"ifrs_","ifrs-full_")=$C19),0))</f>
        <v>#REF!</v>
      </c>
    </row>
    <row r="20" spans="3:11">
      <c r="C20" s="4" t="s">
        <v>8869</v>
      </c>
      <c r="D20" s="5" t="s">
        <v>55</v>
      </c>
      <c r="E20" s="3"/>
      <c r="F20" s="14" t="e">
        <f t="array" aca="1" ref="F20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G20" s="14" t="e">
        <f t="array" aca="1" ref="G20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H20" s="14" t="e">
        <f t="array" aca="1" ref="H20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I20" s="14" t="e">
        <f t="array" aca="1" ref="I20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J20" s="14" t="e">
        <f t="array" aca="1" ref="J20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  <c r="K20" s="14" t="e">
        <f t="array" aca="1" ref="K20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$B$4),"ifrs_","ifrs-full_")=$C20),0))</f>
        <v>#REF!</v>
      </c>
    </row>
    <row r="21" spans="3:11">
      <c r="C21" s="4" t="s">
        <v>8856</v>
      </c>
      <c r="D21" s="5" t="s">
        <v>46</v>
      </c>
      <c r="E21" s="8"/>
      <c r="F21" s="14" t="e">
        <f t="array" aca="1" ref="F21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G21" s="14" t="e">
        <f t="array" aca="1" ref="G21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H21" s="14" t="e">
        <f t="array" aca="1" ref="H21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I21" s="14" t="e">
        <f t="array" aca="1" ref="I21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J21" s="14" t="e">
        <f t="array" aca="1" ref="J21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  <c r="K21" s="14" t="e">
        <f t="array" aca="1" ref="K21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$B$4),"ifrs_","ifrs-full_")=$C21),0))</f>
        <v>#REF!</v>
      </c>
    </row>
    <row r="22" spans="3:11">
      <c r="C22" s="4" t="s">
        <v>8857</v>
      </c>
      <c r="D22" s="5" t="s">
        <v>47</v>
      </c>
      <c r="E22" s="3"/>
      <c r="F22" s="14" t="e">
        <f t="array" aca="1" ref="F22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G22" s="14" t="e">
        <f t="array" aca="1" ref="G22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H22" s="14" t="e">
        <f t="array" aca="1" ref="H22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I22" s="14" t="e">
        <f t="array" aca="1" ref="I22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J22" s="14" t="e">
        <f t="array" aca="1" ref="J22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  <c r="K22" s="14" t="e">
        <f t="array" aca="1" ref="K22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$B$4),"ifrs_","ifrs-full_")=$C22),0))</f>
        <v>#REF!</v>
      </c>
    </row>
    <row r="23" spans="3:11">
      <c r="C23" s="4" t="s">
        <v>8858</v>
      </c>
      <c r="D23" s="5" t="s">
        <v>48</v>
      </c>
      <c r="E23" s="3"/>
      <c r="F23" s="14" t="e">
        <f t="array" aca="1" ref="F23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G23" s="14" t="e">
        <f t="array" aca="1" ref="G23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H23" s="14" t="e">
        <f t="array" aca="1" ref="H23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I23" s="14" t="e">
        <f t="array" aca="1" ref="I23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J23" s="14" t="e">
        <f t="array" aca="1" ref="J23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  <c r="K23" s="14" t="e">
        <f t="array" aca="1" ref="K23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$B$4),"ifrs_","ifrs-full_")=$C23),0))</f>
        <v>#REF!</v>
      </c>
    </row>
    <row r="24" spans="3:11">
      <c r="C24" s="4" t="s">
        <v>8870</v>
      </c>
      <c r="D24" s="37" t="s">
        <v>8906</v>
      </c>
      <c r="E24" s="8"/>
      <c r="F24" s="14" t="e">
        <f t="array" aca="1" ref="F24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G24" s="14" t="e">
        <f t="array" aca="1" ref="G24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H24" s="14" t="e">
        <f t="array" aca="1" ref="H24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I24" s="14" t="e">
        <f t="array" aca="1" ref="I24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J24" s="14" t="e">
        <f t="array" aca="1" ref="J24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  <c r="K24" s="14" t="e">
        <f t="array" aca="1" ref="K24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$B$4),"ifrs_","ifrs-full_")=$C24),0))</f>
        <v>#REF!</v>
      </c>
    </row>
    <row r="25" spans="3:11">
      <c r="C25" s="4" t="s">
        <v>8871</v>
      </c>
      <c r="D25" s="37" t="s">
        <v>8907</v>
      </c>
      <c r="E25" s="3"/>
      <c r="F25" s="14" t="e">
        <f t="array" aca="1" ref="F25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G25" s="14" t="e">
        <f t="array" aca="1" ref="G25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H25" s="14" t="e">
        <f t="array" aca="1" ref="H25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I25" s="14" t="e">
        <f t="array" aca="1" ref="I25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J25" s="14" t="e">
        <f t="array" aca="1" ref="J25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  <c r="K25" s="14" t="e">
        <f t="array" aca="1" ref="K25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$B$4),"ifrs_","ifrs-full_")=$C25),0))</f>
        <v>#REF!</v>
      </c>
    </row>
    <row r="26" spans="3:11">
      <c r="C26" s="4" t="s">
        <v>8872</v>
      </c>
      <c r="D26" s="37" t="s">
        <v>8908</v>
      </c>
      <c r="E26" s="3"/>
      <c r="F26" s="14" t="e">
        <f t="array" aca="1" ref="F26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G26" s="14" t="e">
        <f t="array" aca="1" ref="G26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H26" s="14" t="e">
        <f t="array" aca="1" ref="H26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I26" s="14" t="e">
        <f t="array" aca="1" ref="I26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J26" s="14" t="e">
        <f t="array" aca="1" ref="J26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  <c r="K26" s="14" t="e">
        <f t="array" aca="1" ref="K26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$B$4),"ifrs_","ifrs-full_")=$C26),0))</f>
        <v>#REF!</v>
      </c>
    </row>
    <row r="27" spans="3:11">
      <c r="C27" s="4" t="s">
        <v>8859</v>
      </c>
      <c r="D27" s="5" t="s">
        <v>49</v>
      </c>
      <c r="E27" s="8"/>
      <c r="F27" s="14" t="e">
        <f t="array" aca="1" ref="F27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G27" s="14" t="e">
        <f t="array" aca="1" ref="G27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H27" s="14" t="e">
        <f t="array" aca="1" ref="H27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I27" s="14" t="e">
        <f t="array" aca="1" ref="I27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J27" s="14" t="e">
        <f t="array" aca="1" ref="J27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  <c r="K27" s="14" t="e">
        <f t="array" aca="1" ref="K27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$B$4),"ifrs_","ifrs-full_")=$C27),0))</f>
        <v>#REF!</v>
      </c>
    </row>
    <row r="28" spans="3:11">
      <c r="C28" s="4" t="s">
        <v>8860</v>
      </c>
      <c r="D28" s="5" t="s">
        <v>50</v>
      </c>
      <c r="E28" s="3"/>
      <c r="F28" s="14" t="e">
        <f t="array" aca="1" ref="F28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G28" s="14" t="e">
        <f t="array" aca="1" ref="G28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H28" s="14" t="e">
        <f t="array" aca="1" ref="H28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I28" s="14" t="e">
        <f t="array" aca="1" ref="I28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J28" s="14" t="e">
        <f t="array" aca="1" ref="J28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  <c r="K28" s="14" t="e">
        <f t="array" aca="1" ref="K28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$B$4),"ifrs_","ifrs-full_")=$C28),0))</f>
        <v>#REF!</v>
      </c>
    </row>
    <row r="29" spans="3:11">
      <c r="C29" s="4" t="s">
        <v>8861</v>
      </c>
      <c r="D29" s="5" t="s">
        <v>51</v>
      </c>
      <c r="E29" s="3"/>
      <c r="F29" s="14" t="e">
        <f t="array" aca="1" ref="F29" ca="1">INDEX(INDIRECT(Main!$C$9&amp;"!M$" &amp; $A$4 &amp; ":M$"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G29" s="14" t="e">
        <f t="array" aca="1" ref="G29" ca="1">INDEX(INDIRECT(Main!$C$9&amp;"!N$" &amp; $A$4 &amp; ":N$"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H29" s="14" t="e">
        <f t="array" aca="1" ref="H29" ca="1">INDEX(INDIRECT(Main!$C$9&amp;"!O$" &amp; $A$4 &amp; ":O$"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I29" s="14" t="e">
        <f t="array" aca="1" ref="I29" ca="1">INDEX(INDIRECT(Main!$C$9&amp;"!P$" &amp; $A$4 &amp; ":P$"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J29" s="14" t="e">
        <f t="array" aca="1" ref="J29" ca="1">INDEX(INDIRECT(Main!$C$9&amp;"!Q$" &amp; $A$4 &amp; ":Q$"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  <c r="K29" s="14" t="e">
        <f t="array" aca="1" ref="K29" ca="1">INDEX(INDIRECT(Main!$C$9&amp;"!R$" &amp; $A$4 &amp; ":R$" &amp; $B$4),MATCH(1,(INDIRECT(Main!$C$9&amp;"!$A$"&amp; $A$4 &amp; ":$A$" &amp; $B$4)=$A$1)*(INDIRECT(Main!$C$9&amp;"!$B$" &amp; $A$4 &amp; ":$B$" &amp; $B$4)=$A$3)*(SUBSTITUTE(INDIRECT(Main!$C$9&amp;"!$K$"&amp; $A$4 &amp; ":$K$" &amp; $B$4),"ifrs_","ifrs-full_")=$C29),0))</f>
        <v>#REF!</v>
      </c>
    </row>
  </sheetData>
  <phoneticPr fontId="12" type="noConversion"/>
  <hyperlinks>
    <hyperlink ref="A1" location="총괄!A1" display="포괄손익계산서, 성격별 분류(세전기타포괄손익) - 연결재무제표(선택)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604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604" r:id="rId3" name="ComboBox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K23"/>
  <sheetViews>
    <sheetView workbookViewId="0">
      <selection activeCell="A2" sqref="A2"/>
    </sheetView>
  </sheetViews>
  <sheetFormatPr defaultRowHeight="16.5"/>
  <cols>
    <col min="1" max="1" width="17.875" style="23" customWidth="1"/>
    <col min="2" max="2" width="22.875" style="23" customWidth="1"/>
    <col min="3" max="3" width="20" customWidth="1"/>
    <col min="4" max="4" width="50" customWidth="1"/>
    <col min="5" max="5" width="5" customWidth="1"/>
    <col min="6" max="11" width="25" customWidth="1"/>
  </cols>
  <sheetData>
    <row r="1" spans="1:11">
      <c r="A1" s="35" t="s">
        <v>8386</v>
      </c>
      <c r="K1" s="2" t="s">
        <v>8</v>
      </c>
    </row>
    <row r="2" spans="1:11">
      <c r="A2" s="11" t="s">
        <v>5346</v>
      </c>
      <c r="B2" s="11" t="s">
        <v>5347</v>
      </c>
      <c r="C2" s="6" t="s">
        <v>4</v>
      </c>
      <c r="D2" s="6" t="s">
        <v>5</v>
      </c>
      <c r="E2" s="6" t="s">
        <v>6</v>
      </c>
      <c r="F2" s="6" t="s">
        <v>23</v>
      </c>
      <c r="G2" s="6"/>
      <c r="H2" s="6"/>
      <c r="I2" s="6"/>
      <c r="J2" s="6"/>
      <c r="K2" s="6"/>
    </row>
    <row r="3" spans="1:11" ht="24">
      <c r="A3" s="13" t="str">
        <f>총괄!B1</f>
        <v>[000140]</v>
      </c>
      <c r="B3" s="12" t="str">
        <f>총괄!D1</f>
        <v>하이트진로홀딩스</v>
      </c>
      <c r="C3" s="6"/>
      <c r="D3" s="6"/>
      <c r="E3" s="6"/>
      <c r="F3" s="7" t="s">
        <v>24</v>
      </c>
      <c r="G3" s="7" t="s">
        <v>25</v>
      </c>
      <c r="H3" s="7" t="s">
        <v>26</v>
      </c>
      <c r="I3" s="7" t="s">
        <v>27</v>
      </c>
      <c r="J3" s="7" t="s">
        <v>2</v>
      </c>
      <c r="K3" s="7" t="s">
        <v>3</v>
      </c>
    </row>
    <row r="4" spans="1:11">
      <c r="A4" s="36" t="e">
        <f ca="1">총괄!H21</f>
        <v>#REF!</v>
      </c>
      <c r="B4" s="36" t="str">
        <f ca="1">총괄!I21</f>
        <v/>
      </c>
      <c r="C4" s="4" t="s">
        <v>8846</v>
      </c>
      <c r="D4" s="5" t="s">
        <v>28</v>
      </c>
      <c r="E4" s="3" t="s">
        <v>11</v>
      </c>
      <c r="F4" s="14" t="e">
        <f t="array" aca="1" ref="F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G4" s="14" t="e">
        <f t="array" aca="1" ref="G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H4" s="14" t="e">
        <f t="array" aca="1" ref="H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I4" s="14" t="e">
        <f t="array" aca="1" ref="I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J4" s="14" t="e">
        <f t="array" aca="1" ref="J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  <c r="K4" s="14" t="e">
        <f t="array" aca="1" ref="K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$B$4),"ifrs_","ifrs-full_")=$C4),0))</f>
        <v>#REF!</v>
      </c>
    </row>
    <row r="5" spans="1:11">
      <c r="A5" s="6" t="s">
        <v>8430</v>
      </c>
      <c r="B5" s="6" t="s">
        <v>8434</v>
      </c>
      <c r="C5" s="4" t="s">
        <v>33</v>
      </c>
      <c r="D5" s="5" t="s">
        <v>34</v>
      </c>
      <c r="E5" s="3" t="s">
        <v>11</v>
      </c>
      <c r="F5" s="14" t="e">
        <f t="array" aca="1" ref="F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G5" s="14" t="e">
        <f t="array" aca="1" ref="G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H5" s="14" t="e">
        <f t="array" aca="1" ref="H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I5" s="14" t="e">
        <f t="array" aca="1" ref="I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J5" s="14" t="e">
        <f t="array" aca="1" ref="J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  <c r="K5" s="14" t="e">
        <f t="array" aca="1" ref="K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$B$4),"ifrs_","ifrs-full_")=$C5),0))</f>
        <v>#REF!</v>
      </c>
    </row>
    <row r="6" spans="1:11">
      <c r="A6" s="12" t="s">
        <v>8438</v>
      </c>
      <c r="B6" s="12" t="e">
        <f ca="1">G5/G4</f>
        <v>#REF!</v>
      </c>
      <c r="C6" s="4" t="s">
        <v>35</v>
      </c>
      <c r="D6" s="5" t="s">
        <v>36</v>
      </c>
      <c r="E6" s="3" t="s">
        <v>11</v>
      </c>
      <c r="F6" s="14" t="e">
        <f t="array" aca="1" ref="F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G6" s="14" t="e">
        <f t="array" aca="1" ref="G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H6" s="14" t="e">
        <f t="array" aca="1" ref="H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I6" s="14" t="e">
        <f t="array" aca="1" ref="I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J6" s="14" t="e">
        <f t="array" aca="1" ref="J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  <c r="K6" s="14" t="e">
        <f t="array" aca="1" ref="K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$B$4),"ifrs_","ifrs-full_")=$C6),0))</f>
        <v>#REF!</v>
      </c>
    </row>
    <row r="7" spans="1:11">
      <c r="A7" s="12" t="s">
        <v>8439</v>
      </c>
      <c r="B7" s="12" t="e">
        <f ca="1">G14/G4</f>
        <v>#REF!</v>
      </c>
      <c r="C7" s="4" t="s">
        <v>37</v>
      </c>
      <c r="D7" s="5" t="s">
        <v>38</v>
      </c>
      <c r="E7" s="3" t="s">
        <v>12</v>
      </c>
      <c r="F7" s="14" t="e">
        <f t="array" aca="1" ref="F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G7" s="14" t="e">
        <f t="array" aca="1" ref="G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H7" s="14" t="e">
        <f t="array" aca="1" ref="H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I7" s="14" t="e">
        <f t="array" aca="1" ref="I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J7" s="14" t="e">
        <f t="array" aca="1" ref="J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  <c r="K7" s="14" t="e">
        <f t="array" aca="1" ref="K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$B$4),"ifrs_","ifrs-full_")=$C7),0))</f>
        <v>#REF!</v>
      </c>
    </row>
    <row r="8" spans="1:11">
      <c r="A8" s="34"/>
      <c r="B8" s="34"/>
      <c r="C8" s="4" t="s">
        <v>8849</v>
      </c>
      <c r="D8" s="5" t="s">
        <v>39</v>
      </c>
      <c r="E8" s="3" t="s">
        <v>11</v>
      </c>
      <c r="F8" s="14" t="e">
        <f t="array" aca="1" ref="F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G8" s="14" t="e">
        <f t="array" aca="1" ref="G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H8" s="14" t="e">
        <f t="array" aca="1" ref="H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I8" s="14" t="e">
        <f t="array" aca="1" ref="I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J8" s="14" t="e">
        <f t="array" aca="1" ref="J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  <c r="K8" s="14" t="e">
        <f t="array" aca="1" ref="K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$B$4),"ifrs_","ifrs-full_")=$C8),0))</f>
        <v>#REF!</v>
      </c>
    </row>
    <row r="9" spans="1:11">
      <c r="C9" s="4" t="s">
        <v>8850</v>
      </c>
      <c r="D9" s="5" t="s">
        <v>40</v>
      </c>
      <c r="E9" s="3" t="s">
        <v>12</v>
      </c>
      <c r="F9" s="14" t="e">
        <f t="array" aca="1" ref="F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G9" s="14" t="e">
        <f t="array" aca="1" ref="G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H9" s="14" t="e">
        <f t="array" aca="1" ref="H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I9" s="14" t="e">
        <f t="array" aca="1" ref="I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J9" s="14" t="e">
        <f t="array" aca="1" ref="J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  <c r="K9" s="14" t="e">
        <f t="array" aca="1" ref="K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$B$4),"ifrs_","ifrs-full_")=$C9),0))</f>
        <v>#REF!</v>
      </c>
    </row>
    <row r="10" spans="1:11">
      <c r="C10" s="4" t="s">
        <v>8851</v>
      </c>
      <c r="D10" s="5" t="s">
        <v>41</v>
      </c>
      <c r="E10" s="3" t="s">
        <v>11</v>
      </c>
      <c r="F10" s="14" t="e">
        <f t="array" aca="1" ref="F1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G10" s="14" t="e">
        <f t="array" aca="1" ref="G1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H10" s="14" t="e">
        <f t="array" aca="1" ref="H1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I10" s="14" t="e">
        <f t="array" aca="1" ref="I1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J10" s="14" t="e">
        <f t="array" aca="1" ref="J1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  <c r="K10" s="14" t="e">
        <f t="array" aca="1" ref="K1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$B$4),"ifrs_","ifrs-full_")=$C10),0))</f>
        <v>#REF!</v>
      </c>
    </row>
    <row r="11" spans="1:11">
      <c r="C11" s="4" t="s">
        <v>8852</v>
      </c>
      <c r="D11" s="5" t="s">
        <v>42</v>
      </c>
      <c r="E11" s="3" t="s">
        <v>12</v>
      </c>
      <c r="F11" s="14" t="e">
        <f t="array" aca="1" ref="F1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G11" s="14" t="e">
        <f t="array" aca="1" ref="G1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H11" s="14" t="e">
        <f t="array" aca="1" ref="H1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I11" s="14" t="e">
        <f t="array" aca="1" ref="I1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J11" s="14" t="e">
        <f t="array" aca="1" ref="J1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  <c r="K11" s="14" t="e">
        <f t="array" aca="1" ref="K1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$B$4),"ifrs_","ifrs-full_")=$C11),0))</f>
        <v>#REF!</v>
      </c>
    </row>
    <row r="12" spans="1:11">
      <c r="C12" s="4" t="s">
        <v>8853</v>
      </c>
      <c r="D12" s="5" t="s">
        <v>43</v>
      </c>
      <c r="E12" s="3" t="s">
        <v>11</v>
      </c>
      <c r="F12" s="14" t="e">
        <f t="array" aca="1" ref="F1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G12" s="14" t="e">
        <f t="array" aca="1" ref="G1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H12" s="14" t="e">
        <f t="array" aca="1" ref="H1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I12" s="14" t="e">
        <f t="array" aca="1" ref="I1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J12" s="14" t="e">
        <f t="array" aca="1" ref="J1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  <c r="K12" s="14" t="e">
        <f t="array" aca="1" ref="K1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$B$4),"ifrs_","ifrs-full_")=$C12),0))</f>
        <v>#REF!</v>
      </c>
    </row>
    <row r="13" spans="1:11">
      <c r="C13" s="4" t="s">
        <v>8854</v>
      </c>
      <c r="D13" s="5" t="s">
        <v>44</v>
      </c>
      <c r="E13" s="3" t="s">
        <v>11</v>
      </c>
      <c r="F13" s="14" t="e">
        <f t="array" aca="1" ref="F1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G13" s="14" t="e">
        <f t="array" aca="1" ref="G1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H13" s="14" t="e">
        <f t="array" aca="1" ref="H1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I13" s="14" t="e">
        <f t="array" aca="1" ref="I1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J13" s="14" t="e">
        <f t="array" aca="1" ref="J1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  <c r="K13" s="14" t="e">
        <f t="array" aca="1" ref="K1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$B$4),"ifrs_","ifrs-full_")=$C13),0))</f>
        <v>#REF!</v>
      </c>
    </row>
    <row r="14" spans="1:11">
      <c r="C14" s="4" t="s">
        <v>8855</v>
      </c>
      <c r="D14" s="5" t="s">
        <v>45</v>
      </c>
      <c r="E14" s="3" t="s">
        <v>11</v>
      </c>
      <c r="F14" s="14" t="e">
        <f t="array" aca="1" ref="F14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G14" s="14" t="e">
        <f t="array" aca="1" ref="G14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H14" s="14" t="e">
        <f t="array" aca="1" ref="H14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I14" s="14" t="e">
        <f t="array" aca="1" ref="I14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J14" s="14" t="e">
        <f t="array" aca="1" ref="J14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  <c r="K14" s="14" t="e">
        <f t="array" aca="1" ref="K14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$B$4),"ifrs_","ifrs-full_")=$C14),0))</f>
        <v>#REF!</v>
      </c>
    </row>
    <row r="15" spans="1:11">
      <c r="C15" s="4" t="s">
        <v>8868</v>
      </c>
      <c r="D15" s="5" t="s">
        <v>52</v>
      </c>
      <c r="E15" s="3" t="s">
        <v>11</v>
      </c>
      <c r="F15" s="14" t="e">
        <f t="array" aca="1" ref="F15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G15" s="14" t="e">
        <f t="array" aca="1" ref="G15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H15" s="14" t="e">
        <f t="array" aca="1" ref="H15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I15" s="14" t="e">
        <f t="array" aca="1" ref="I15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J15" s="14" t="e">
        <f t="array" aca="1" ref="J15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  <c r="K15" s="14" t="e">
        <f t="array" aca="1" ref="K15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$B$4),"ifrs_","ifrs-full_")=$C15),0))</f>
        <v>#REF!</v>
      </c>
    </row>
    <row r="16" spans="1:11">
      <c r="C16" s="4" t="s">
        <v>56</v>
      </c>
      <c r="D16" s="37" t="s">
        <v>8909</v>
      </c>
      <c r="E16" s="3" t="s">
        <v>11</v>
      </c>
      <c r="F16" s="14" t="e">
        <f t="array" aca="1" ref="F16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G16" s="14" t="e">
        <f t="array" aca="1" ref="G16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H16" s="14" t="e">
        <f t="array" aca="1" ref="H16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I16" s="14" t="e">
        <f t="array" aca="1" ref="I16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J16" s="14" t="e">
        <f t="array" aca="1" ref="J16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  <c r="K16" s="14" t="e">
        <f t="array" aca="1" ref="K16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$B$4),"ifrs_","ifrs-full_")=$C16),0))</f>
        <v>#REF!</v>
      </c>
    </row>
    <row r="17" spans="3:11">
      <c r="C17" s="4" t="s">
        <v>57</v>
      </c>
      <c r="D17" s="37" t="s">
        <v>8910</v>
      </c>
      <c r="E17" s="3" t="s">
        <v>11</v>
      </c>
      <c r="F17" s="14" t="e">
        <f t="array" aca="1" ref="F17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G17" s="14" t="e">
        <f t="array" aca="1" ref="G17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H17" s="14" t="e">
        <f t="array" aca="1" ref="H17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I17" s="14" t="e">
        <f t="array" aca="1" ref="I17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J17" s="14" t="e">
        <f t="array" aca="1" ref="J17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  <c r="K17" s="14" t="e">
        <f t="array" aca="1" ref="K17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$B$4),"ifrs_","ifrs-full_")=$C17),0))</f>
        <v>#REF!</v>
      </c>
    </row>
    <row r="18" spans="3:11">
      <c r="C18" s="4" t="s">
        <v>58</v>
      </c>
      <c r="D18" s="37" t="s">
        <v>8911</v>
      </c>
      <c r="E18" s="3" t="s">
        <v>12</v>
      </c>
      <c r="F18" s="14" t="e">
        <f t="array" aca="1" ref="F18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G18" s="14" t="e">
        <f t="array" aca="1" ref="G18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H18" s="14" t="e">
        <f t="array" aca="1" ref="H18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I18" s="14" t="e">
        <f t="array" aca="1" ref="I18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J18" s="14" t="e">
        <f t="array" aca="1" ref="J18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  <c r="K18" s="14" t="e">
        <f t="array" aca="1" ref="K18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$B$4),"ifrs_","ifrs-full_")=$C18),0))</f>
        <v>#REF!</v>
      </c>
    </row>
    <row r="19" spans="3:11">
      <c r="C19" s="4" t="s">
        <v>59</v>
      </c>
      <c r="D19" s="37" t="s">
        <v>8895</v>
      </c>
      <c r="E19" s="3" t="s">
        <v>12</v>
      </c>
      <c r="F19" s="14" t="e">
        <f t="array" aca="1" ref="F19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G19" s="14" t="e">
        <f t="array" aca="1" ref="G19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H19" s="14" t="e">
        <f t="array" aca="1" ref="H19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I19" s="14" t="e">
        <f t="array" aca="1" ref="I19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J19" s="14" t="e">
        <f t="array" aca="1" ref="J19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  <c r="K19" s="14" t="e">
        <f t="array" aca="1" ref="K19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$B$4),"ifrs_","ifrs-full_")=$C19),0))</f>
        <v>#REF!</v>
      </c>
    </row>
    <row r="20" spans="3:11">
      <c r="C20" s="4" t="s">
        <v>8869</v>
      </c>
      <c r="D20" s="5" t="s">
        <v>55</v>
      </c>
      <c r="E20" s="3"/>
      <c r="F20" s="14" t="e">
        <f t="array" aca="1" ref="F20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G20" s="14" t="e">
        <f t="array" aca="1" ref="G20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H20" s="14" t="e">
        <f t="array" aca="1" ref="H20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I20" s="14" t="e">
        <f t="array" aca="1" ref="I20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J20" s="14" t="e">
        <f t="array" aca="1" ref="J20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  <c r="K20" s="14" t="e">
        <f t="array" aca="1" ref="K20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$B$4),"ifrs_","ifrs-full_")=$C20),0))</f>
        <v>#REF!</v>
      </c>
    </row>
    <row r="21" spans="3:11">
      <c r="C21" s="4" t="s">
        <v>8859</v>
      </c>
      <c r="D21" s="5" t="s">
        <v>49</v>
      </c>
      <c r="E21" s="8"/>
      <c r="F21" s="14" t="e">
        <f t="array" aca="1" ref="F21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G21" s="14" t="e">
        <f t="array" aca="1" ref="G21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H21" s="14" t="e">
        <f t="array" aca="1" ref="H21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I21" s="14" t="e">
        <f t="array" aca="1" ref="I21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J21" s="14" t="e">
        <f t="array" aca="1" ref="J21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  <c r="K21" s="14" t="e">
        <f t="array" aca="1" ref="K21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$B$4),"ifrs_","ifrs-full_")=$C21),0))</f>
        <v>#REF!</v>
      </c>
    </row>
    <row r="22" spans="3:11">
      <c r="C22" s="4" t="s">
        <v>8860</v>
      </c>
      <c r="D22" s="5" t="s">
        <v>50</v>
      </c>
      <c r="E22" s="3"/>
      <c r="F22" s="14" t="e">
        <f t="array" aca="1" ref="F22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G22" s="14" t="e">
        <f t="array" aca="1" ref="G22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H22" s="14" t="e">
        <f t="array" aca="1" ref="H22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I22" s="14" t="e">
        <f t="array" aca="1" ref="I22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J22" s="14" t="e">
        <f t="array" aca="1" ref="J22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  <c r="K22" s="14" t="e">
        <f t="array" aca="1" ref="K22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$B$4),"ifrs_","ifrs-full_")=$C22),0))</f>
        <v>#REF!</v>
      </c>
    </row>
    <row r="23" spans="3:11">
      <c r="C23" s="4" t="s">
        <v>8861</v>
      </c>
      <c r="D23" s="5" t="s">
        <v>51</v>
      </c>
      <c r="E23" s="3"/>
      <c r="F23" s="14" t="e">
        <f t="array" aca="1" ref="F23" ca="1">INDEX(INDIRECT(Main!$C$8&amp;"!M$" &amp; $A$4 &amp; ":M$"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G23" s="14" t="e">
        <f t="array" aca="1" ref="G23" ca="1">INDEX(INDIRECT(Main!$C$8&amp;"!N$" &amp; $A$4 &amp; ":N$"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H23" s="14" t="e">
        <f t="array" aca="1" ref="H23" ca="1">INDEX(INDIRECT(Main!$C$8&amp;"!O$" &amp; $A$4 &amp; ":O$"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I23" s="14" t="e">
        <f t="array" aca="1" ref="I23" ca="1">INDEX(INDIRECT(Main!$C$8&amp;"!P$" &amp; $A$4 &amp; ":P$"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J23" s="14" t="e">
        <f t="array" aca="1" ref="J23" ca="1">INDEX(INDIRECT(Main!$C$8&amp;"!Q$" &amp; $A$4 &amp; ":Q$"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  <c r="K23" s="14" t="e">
        <f t="array" aca="1" ref="K23" ca="1">INDEX(INDIRECT(Main!$C$8&amp;"!R$" &amp; $A$4 &amp; ":R$" &amp; $B$4),MATCH(1,(INDIRECT(Main!$C$8&amp;"!$A$"&amp; $A$4 &amp; ":$A$" &amp; $B$4)=$A$1)*(INDIRECT(Main!$C$8&amp;"!$B$" &amp; $A$4 &amp; ":$B$" &amp; $B$4)=$A$3)*(SUBSTITUTE(INDIRECT(Main!$C$8&amp;"!$K$"&amp; $A$4 &amp; ":$K$" &amp; $B$4),"ifrs_","ifrs-full_")=$C23),0))</f>
        <v>#REF!</v>
      </c>
    </row>
  </sheetData>
  <phoneticPr fontId="12" type="noConversion"/>
  <hyperlinks>
    <hyperlink ref="A1" location="총괄!A1" display="포괄손익계산서, 성격별 분류(세전기타포괄손익) - 별도재무제표(선택)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623" r:id="rId3" name="ComboBox1">
          <controlPr defaultSize="0" autoLine="0" listFillRange="회사코드!#REF!" r:id="rId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1623" r:id="rId3" name="ComboBox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C1937"/>
  <sheetViews>
    <sheetView workbookViewId="0">
      <selection activeCell="B26" sqref="B26"/>
    </sheetView>
  </sheetViews>
  <sheetFormatPr defaultRowHeight="16.5"/>
  <cols>
    <col min="1" max="1" width="15" customWidth="1"/>
    <col min="2" max="2" width="63.625" bestFit="1" customWidth="1"/>
    <col min="3" max="3" width="142.25" bestFit="1" customWidth="1"/>
    <col min="4" max="6" width="25" customWidth="1"/>
    <col min="7" max="7" width="10" customWidth="1"/>
  </cols>
  <sheetData>
    <row r="1" spans="1:3">
      <c r="A1" s="57" t="s">
        <v>60</v>
      </c>
      <c r="B1" s="57" t="s">
        <v>61</v>
      </c>
      <c r="C1" s="57" t="s">
        <v>62</v>
      </c>
    </row>
    <row r="2" spans="1:3">
      <c r="A2" s="58" t="s">
        <v>63</v>
      </c>
      <c r="B2" s="58" t="s">
        <v>64</v>
      </c>
      <c r="C2" s="58" t="s">
        <v>65</v>
      </c>
    </row>
    <row r="3" spans="1:3">
      <c r="A3" s="58" t="s">
        <v>66</v>
      </c>
      <c r="B3" s="58" t="s">
        <v>67</v>
      </c>
      <c r="C3" s="58" t="s">
        <v>68</v>
      </c>
    </row>
    <row r="4" spans="1:3">
      <c r="A4" s="58" t="s">
        <v>69</v>
      </c>
      <c r="B4" s="58" t="s">
        <v>70</v>
      </c>
      <c r="C4" s="58" t="s">
        <v>71</v>
      </c>
    </row>
    <row r="5" spans="1:3">
      <c r="A5" s="58" t="s">
        <v>72</v>
      </c>
      <c r="B5" s="58" t="s">
        <v>70</v>
      </c>
      <c r="C5" s="58" t="s">
        <v>71</v>
      </c>
    </row>
    <row r="6" spans="1:3">
      <c r="A6" s="58" t="s">
        <v>73</v>
      </c>
      <c r="B6" s="58" t="s">
        <v>74</v>
      </c>
      <c r="C6" s="58" t="s">
        <v>75</v>
      </c>
    </row>
    <row r="7" spans="1:3">
      <c r="A7" s="58" t="s">
        <v>76</v>
      </c>
      <c r="B7" s="58" t="s">
        <v>77</v>
      </c>
      <c r="C7" s="58" t="s">
        <v>78</v>
      </c>
    </row>
    <row r="8" spans="1:3">
      <c r="A8" s="58" t="s">
        <v>79</v>
      </c>
      <c r="B8" s="58" t="s">
        <v>80</v>
      </c>
      <c r="C8" s="58" t="s">
        <v>81</v>
      </c>
    </row>
    <row r="9" spans="1:3">
      <c r="A9" s="58" t="s">
        <v>82</v>
      </c>
      <c r="B9" s="58" t="s">
        <v>83</v>
      </c>
      <c r="C9" s="58" t="s">
        <v>84</v>
      </c>
    </row>
    <row r="10" spans="1:3">
      <c r="A10" s="58" t="s">
        <v>85</v>
      </c>
      <c r="B10" s="58" t="s">
        <v>86</v>
      </c>
      <c r="C10" s="58" t="s">
        <v>87</v>
      </c>
    </row>
    <row r="11" spans="1:3">
      <c r="A11" s="58" t="s">
        <v>88</v>
      </c>
      <c r="B11" s="58" t="s">
        <v>89</v>
      </c>
      <c r="C11" s="58" t="s">
        <v>90</v>
      </c>
    </row>
    <row r="12" spans="1:3">
      <c r="A12" s="58" t="s">
        <v>91</v>
      </c>
      <c r="B12" s="58" t="s">
        <v>92</v>
      </c>
      <c r="C12" s="58" t="s">
        <v>93</v>
      </c>
    </row>
    <row r="13" spans="1:3">
      <c r="A13" s="58" t="s">
        <v>94</v>
      </c>
      <c r="B13" s="58" t="s">
        <v>95</v>
      </c>
      <c r="C13" s="58" t="s">
        <v>96</v>
      </c>
    </row>
    <row r="14" spans="1:3">
      <c r="A14" s="58" t="s">
        <v>97</v>
      </c>
      <c r="B14" s="58" t="s">
        <v>95</v>
      </c>
      <c r="C14" s="58" t="s">
        <v>96</v>
      </c>
    </row>
    <row r="15" spans="1:3">
      <c r="A15" s="58" t="s">
        <v>98</v>
      </c>
      <c r="B15" s="58" t="s">
        <v>99</v>
      </c>
      <c r="C15" s="58" t="s">
        <v>100</v>
      </c>
    </row>
    <row r="16" spans="1:3">
      <c r="A16" s="58" t="s">
        <v>101</v>
      </c>
      <c r="B16" s="58" t="s">
        <v>102</v>
      </c>
      <c r="C16" s="58" t="s">
        <v>103</v>
      </c>
    </row>
    <row r="17" spans="1:3">
      <c r="A17" s="58" t="s">
        <v>104</v>
      </c>
      <c r="B17" s="58" t="s">
        <v>105</v>
      </c>
      <c r="C17" s="58" t="s">
        <v>106</v>
      </c>
    </row>
    <row r="18" spans="1:3">
      <c r="A18" s="58" t="s">
        <v>107</v>
      </c>
      <c r="B18" s="58" t="s">
        <v>108</v>
      </c>
      <c r="C18" s="58" t="s">
        <v>109</v>
      </c>
    </row>
    <row r="19" spans="1:3">
      <c r="A19" s="58" t="s">
        <v>110</v>
      </c>
      <c r="B19" s="58" t="s">
        <v>111</v>
      </c>
      <c r="C19" s="58" t="s">
        <v>112</v>
      </c>
    </row>
    <row r="20" spans="1:3">
      <c r="A20" s="58" t="s">
        <v>113</v>
      </c>
      <c r="B20" s="58" t="s">
        <v>114</v>
      </c>
      <c r="C20" s="58" t="s">
        <v>115</v>
      </c>
    </row>
    <row r="21" spans="1:3">
      <c r="A21" s="58" t="s">
        <v>116</v>
      </c>
      <c r="B21" s="58" t="s">
        <v>117</v>
      </c>
      <c r="C21" s="58" t="s">
        <v>118</v>
      </c>
    </row>
    <row r="22" spans="1:3">
      <c r="A22" s="58" t="s">
        <v>119</v>
      </c>
      <c r="B22" s="58" t="s">
        <v>120</v>
      </c>
      <c r="C22" s="58" t="s">
        <v>121</v>
      </c>
    </row>
    <row r="23" spans="1:3">
      <c r="A23" s="58" t="s">
        <v>122</v>
      </c>
      <c r="B23" s="58" t="s">
        <v>123</v>
      </c>
      <c r="C23" s="58" t="s">
        <v>124</v>
      </c>
    </row>
    <row r="24" spans="1:3">
      <c r="A24" s="58" t="s">
        <v>125</v>
      </c>
      <c r="B24" s="58" t="s">
        <v>123</v>
      </c>
      <c r="C24" s="58" t="s">
        <v>124</v>
      </c>
    </row>
    <row r="25" spans="1:3">
      <c r="A25" s="58" t="s">
        <v>126</v>
      </c>
      <c r="B25" s="58" t="s">
        <v>127</v>
      </c>
      <c r="C25" s="58" t="s">
        <v>128</v>
      </c>
    </row>
    <row r="26" spans="1:3">
      <c r="A26" s="58" t="s">
        <v>129</v>
      </c>
      <c r="B26" s="58" t="s">
        <v>130</v>
      </c>
      <c r="C26" s="58" t="s">
        <v>131</v>
      </c>
    </row>
    <row r="27" spans="1:3">
      <c r="A27" s="58" t="s">
        <v>132</v>
      </c>
      <c r="B27" s="58" t="s">
        <v>133</v>
      </c>
      <c r="C27" s="58" t="s">
        <v>134</v>
      </c>
    </row>
    <row r="28" spans="1:3">
      <c r="A28" s="58" t="s">
        <v>135</v>
      </c>
      <c r="B28" s="58" t="s">
        <v>136</v>
      </c>
      <c r="C28" s="58" t="s">
        <v>137</v>
      </c>
    </row>
    <row r="29" spans="1:3">
      <c r="A29" s="58" t="s">
        <v>138</v>
      </c>
      <c r="B29" s="58" t="s">
        <v>139</v>
      </c>
      <c r="C29" s="58" t="s">
        <v>140</v>
      </c>
    </row>
    <row r="30" spans="1:3">
      <c r="A30" s="58" t="s">
        <v>141</v>
      </c>
      <c r="B30" s="58" t="s">
        <v>142</v>
      </c>
      <c r="C30" s="58" t="s">
        <v>143</v>
      </c>
    </row>
    <row r="31" spans="1:3">
      <c r="A31" s="58" t="s">
        <v>144</v>
      </c>
      <c r="B31" s="58" t="s">
        <v>145</v>
      </c>
      <c r="C31" s="58" t="s">
        <v>146</v>
      </c>
    </row>
    <row r="32" spans="1:3">
      <c r="A32" s="58" t="s">
        <v>147</v>
      </c>
      <c r="B32" s="58" t="s">
        <v>145</v>
      </c>
      <c r="C32" s="58" t="s">
        <v>146</v>
      </c>
    </row>
    <row r="33" spans="1:3">
      <c r="A33" s="58" t="s">
        <v>148</v>
      </c>
      <c r="B33" s="58" t="s">
        <v>145</v>
      </c>
      <c r="C33" s="58" t="s">
        <v>146</v>
      </c>
    </row>
    <row r="34" spans="1:3">
      <c r="A34" s="58" t="s">
        <v>149</v>
      </c>
      <c r="B34" s="58" t="s">
        <v>150</v>
      </c>
      <c r="C34" s="58" t="s">
        <v>151</v>
      </c>
    </row>
    <row r="35" spans="1:3">
      <c r="A35" s="58" t="s">
        <v>152</v>
      </c>
      <c r="B35" s="58" t="s">
        <v>153</v>
      </c>
      <c r="C35" s="58" t="s">
        <v>154</v>
      </c>
    </row>
    <row r="36" spans="1:3">
      <c r="A36" s="58" t="s">
        <v>155</v>
      </c>
      <c r="B36" s="58" t="s">
        <v>156</v>
      </c>
      <c r="C36" s="58" t="s">
        <v>157</v>
      </c>
    </row>
    <row r="37" spans="1:3">
      <c r="A37" s="58" t="s">
        <v>158</v>
      </c>
      <c r="B37" s="58" t="s">
        <v>159</v>
      </c>
      <c r="C37" s="58" t="s">
        <v>160</v>
      </c>
    </row>
    <row r="38" spans="1:3">
      <c r="A38" s="58" t="s">
        <v>161</v>
      </c>
      <c r="B38" s="58" t="s">
        <v>162</v>
      </c>
      <c r="C38" s="58" t="s">
        <v>163</v>
      </c>
    </row>
    <row r="39" spans="1:3">
      <c r="A39" s="58" t="s">
        <v>164</v>
      </c>
      <c r="B39" s="58" t="s">
        <v>162</v>
      </c>
      <c r="C39" s="58" t="s">
        <v>163</v>
      </c>
    </row>
    <row r="40" spans="1:3">
      <c r="A40" s="58" t="s">
        <v>165</v>
      </c>
      <c r="B40" s="58" t="s">
        <v>166</v>
      </c>
      <c r="C40" s="58" t="s">
        <v>167</v>
      </c>
    </row>
    <row r="41" spans="1:3">
      <c r="A41" s="58" t="s">
        <v>168</v>
      </c>
      <c r="B41" s="58" t="s">
        <v>166</v>
      </c>
      <c r="C41" s="58" t="s">
        <v>169</v>
      </c>
    </row>
    <row r="42" spans="1:3">
      <c r="A42" s="58" t="s">
        <v>170</v>
      </c>
      <c r="B42" s="58" t="s">
        <v>166</v>
      </c>
      <c r="C42" s="58" t="s">
        <v>169</v>
      </c>
    </row>
    <row r="43" spans="1:3">
      <c r="A43" s="58" t="s">
        <v>171</v>
      </c>
      <c r="B43" s="58" t="s">
        <v>172</v>
      </c>
      <c r="C43" s="58" t="s">
        <v>173</v>
      </c>
    </row>
    <row r="44" spans="1:3">
      <c r="A44" s="58" t="s">
        <v>174</v>
      </c>
      <c r="B44" s="58" t="s">
        <v>172</v>
      </c>
      <c r="C44" s="58" t="s">
        <v>173</v>
      </c>
    </row>
    <row r="45" spans="1:3">
      <c r="A45" s="58" t="s">
        <v>175</v>
      </c>
      <c r="B45" s="58" t="s">
        <v>176</v>
      </c>
      <c r="C45" s="58" t="s">
        <v>173</v>
      </c>
    </row>
    <row r="46" spans="1:3">
      <c r="A46" s="58" t="s">
        <v>177</v>
      </c>
      <c r="B46" s="58" t="s">
        <v>178</v>
      </c>
      <c r="C46" s="58" t="s">
        <v>179</v>
      </c>
    </row>
    <row r="47" spans="1:3">
      <c r="A47" s="58" t="s">
        <v>180</v>
      </c>
      <c r="B47" s="58" t="s">
        <v>181</v>
      </c>
      <c r="C47" s="58" t="s">
        <v>182</v>
      </c>
    </row>
    <row r="48" spans="1:3">
      <c r="A48" s="58" t="s">
        <v>183</v>
      </c>
      <c r="B48" s="58" t="s">
        <v>184</v>
      </c>
      <c r="C48" s="58" t="s">
        <v>185</v>
      </c>
    </row>
    <row r="49" spans="1:3">
      <c r="A49" s="58" t="s">
        <v>186</v>
      </c>
      <c r="B49" s="58" t="s">
        <v>184</v>
      </c>
      <c r="C49" s="58" t="s">
        <v>185</v>
      </c>
    </row>
    <row r="50" spans="1:3">
      <c r="A50" s="58" t="s">
        <v>187</v>
      </c>
      <c r="B50" s="58" t="s">
        <v>188</v>
      </c>
      <c r="C50" s="58" t="s">
        <v>189</v>
      </c>
    </row>
    <row r="51" spans="1:3">
      <c r="A51" s="58" t="s">
        <v>190</v>
      </c>
      <c r="B51" s="58" t="s">
        <v>188</v>
      </c>
      <c r="C51" s="58" t="s">
        <v>189</v>
      </c>
    </row>
    <row r="52" spans="1:3">
      <c r="A52" s="58" t="s">
        <v>191</v>
      </c>
      <c r="B52" s="58" t="s">
        <v>192</v>
      </c>
      <c r="C52" s="58" t="s">
        <v>193</v>
      </c>
    </row>
    <row r="53" spans="1:3">
      <c r="A53" s="58" t="s">
        <v>194</v>
      </c>
      <c r="B53" s="58" t="s">
        <v>192</v>
      </c>
      <c r="C53" s="58" t="s">
        <v>193</v>
      </c>
    </row>
    <row r="54" spans="1:3">
      <c r="A54" s="58" t="s">
        <v>195</v>
      </c>
      <c r="B54" s="58" t="s">
        <v>196</v>
      </c>
      <c r="C54" s="58" t="s">
        <v>197</v>
      </c>
    </row>
    <row r="55" spans="1:3">
      <c r="A55" s="58" t="s">
        <v>198</v>
      </c>
      <c r="B55" s="58" t="s">
        <v>199</v>
      </c>
      <c r="C55" s="58" t="s">
        <v>200</v>
      </c>
    </row>
    <row r="56" spans="1:3">
      <c r="A56" s="58" t="s">
        <v>201</v>
      </c>
      <c r="B56" s="58" t="s">
        <v>202</v>
      </c>
      <c r="C56" s="58" t="s">
        <v>203</v>
      </c>
    </row>
    <row r="57" spans="1:3">
      <c r="A57" s="58" t="s">
        <v>204</v>
      </c>
      <c r="B57" s="58" t="s">
        <v>205</v>
      </c>
      <c r="C57" s="58" t="s">
        <v>206</v>
      </c>
    </row>
    <row r="58" spans="1:3">
      <c r="A58" s="58" t="s">
        <v>207</v>
      </c>
      <c r="B58" s="58" t="s">
        <v>208</v>
      </c>
      <c r="C58" s="58" t="s">
        <v>209</v>
      </c>
    </row>
    <row r="59" spans="1:3">
      <c r="A59" s="58" t="s">
        <v>210</v>
      </c>
      <c r="B59" s="58" t="s">
        <v>211</v>
      </c>
      <c r="C59" s="58" t="s">
        <v>212</v>
      </c>
    </row>
    <row r="60" spans="1:3">
      <c r="A60" s="58" t="s">
        <v>213</v>
      </c>
      <c r="B60" s="58" t="s">
        <v>211</v>
      </c>
      <c r="C60" s="58" t="s">
        <v>212</v>
      </c>
    </row>
    <row r="61" spans="1:3">
      <c r="A61" s="58" t="s">
        <v>214</v>
      </c>
      <c r="B61" s="58" t="s">
        <v>215</v>
      </c>
      <c r="C61" s="58" t="s">
        <v>216</v>
      </c>
    </row>
    <row r="62" spans="1:3">
      <c r="A62" s="58" t="s">
        <v>217</v>
      </c>
      <c r="B62" s="58" t="s">
        <v>218</v>
      </c>
      <c r="C62" s="58" t="s">
        <v>219</v>
      </c>
    </row>
    <row r="63" spans="1:3">
      <c r="A63" s="58" t="s">
        <v>220</v>
      </c>
      <c r="B63" s="58" t="s">
        <v>221</v>
      </c>
      <c r="C63" s="58" t="s">
        <v>222</v>
      </c>
    </row>
    <row r="64" spans="1:3">
      <c r="A64" s="58" t="s">
        <v>223</v>
      </c>
      <c r="B64" s="58" t="s">
        <v>224</v>
      </c>
      <c r="C64" s="58" t="s">
        <v>225</v>
      </c>
    </row>
    <row r="65" spans="1:3">
      <c r="A65" s="58" t="s">
        <v>226</v>
      </c>
      <c r="B65" s="58" t="s">
        <v>227</v>
      </c>
      <c r="C65" s="58" t="s">
        <v>228</v>
      </c>
    </row>
    <row r="66" spans="1:3">
      <c r="A66" s="58" t="s">
        <v>229</v>
      </c>
      <c r="B66" s="58" t="s">
        <v>230</v>
      </c>
      <c r="C66" s="58" t="s">
        <v>231</v>
      </c>
    </row>
    <row r="67" spans="1:3">
      <c r="A67" s="58" t="s">
        <v>232</v>
      </c>
      <c r="B67" s="58" t="s">
        <v>230</v>
      </c>
      <c r="C67" s="58" t="s">
        <v>231</v>
      </c>
    </row>
    <row r="68" spans="1:3">
      <c r="A68" s="58" t="s">
        <v>233</v>
      </c>
      <c r="B68" s="58" t="s">
        <v>234</v>
      </c>
      <c r="C68" s="58" t="s">
        <v>235</v>
      </c>
    </row>
    <row r="69" spans="1:3">
      <c r="A69" s="58" t="s">
        <v>236</v>
      </c>
      <c r="B69" s="58" t="s">
        <v>237</v>
      </c>
      <c r="C69" s="58" t="s">
        <v>238</v>
      </c>
    </row>
    <row r="70" spans="1:3">
      <c r="A70" s="58" t="s">
        <v>239</v>
      </c>
      <c r="B70" s="58" t="s">
        <v>237</v>
      </c>
      <c r="C70" s="58" t="s">
        <v>238</v>
      </c>
    </row>
    <row r="71" spans="1:3">
      <c r="A71" s="58" t="s">
        <v>240</v>
      </c>
      <c r="B71" s="58" t="s">
        <v>237</v>
      </c>
      <c r="C71" s="58" t="s">
        <v>238</v>
      </c>
    </row>
    <row r="72" spans="1:3">
      <c r="A72" s="58" t="s">
        <v>241</v>
      </c>
      <c r="B72" s="58" t="s">
        <v>242</v>
      </c>
      <c r="C72" s="58" t="s">
        <v>243</v>
      </c>
    </row>
    <row r="73" spans="1:3">
      <c r="A73" s="58" t="s">
        <v>244</v>
      </c>
      <c r="B73" s="58" t="s">
        <v>242</v>
      </c>
      <c r="C73" s="58" t="s">
        <v>243</v>
      </c>
    </row>
    <row r="74" spans="1:3">
      <c r="A74" s="58" t="s">
        <v>245</v>
      </c>
      <c r="B74" s="58" t="s">
        <v>242</v>
      </c>
      <c r="C74" s="58" t="s">
        <v>243</v>
      </c>
    </row>
    <row r="75" spans="1:3">
      <c r="A75" s="58" t="s">
        <v>246</v>
      </c>
      <c r="B75" s="58" t="s">
        <v>247</v>
      </c>
      <c r="C75" s="58" t="s">
        <v>248</v>
      </c>
    </row>
    <row r="76" spans="1:3">
      <c r="A76" s="58" t="s">
        <v>249</v>
      </c>
      <c r="B76" s="58" t="s">
        <v>250</v>
      </c>
      <c r="C76" s="58" t="s">
        <v>251</v>
      </c>
    </row>
    <row r="77" spans="1:3">
      <c r="A77" s="58" t="s">
        <v>252</v>
      </c>
      <c r="B77" s="58" t="s">
        <v>250</v>
      </c>
      <c r="C77" s="58" t="s">
        <v>251</v>
      </c>
    </row>
    <row r="78" spans="1:3">
      <c r="A78" s="58" t="s">
        <v>253</v>
      </c>
      <c r="B78" s="58" t="s">
        <v>250</v>
      </c>
      <c r="C78" s="58" t="s">
        <v>251</v>
      </c>
    </row>
    <row r="79" spans="1:3">
      <c r="A79" s="58" t="s">
        <v>254</v>
      </c>
      <c r="B79" s="58" t="s">
        <v>255</v>
      </c>
      <c r="C79" s="58" t="s">
        <v>256</v>
      </c>
    </row>
    <row r="80" spans="1:3">
      <c r="A80" s="58" t="s">
        <v>257</v>
      </c>
      <c r="B80" s="58" t="s">
        <v>258</v>
      </c>
      <c r="C80" s="58" t="s">
        <v>259</v>
      </c>
    </row>
    <row r="81" spans="1:3">
      <c r="A81" s="58" t="s">
        <v>260</v>
      </c>
      <c r="B81" s="58" t="s">
        <v>258</v>
      </c>
      <c r="C81" s="58" t="s">
        <v>259</v>
      </c>
    </row>
    <row r="82" spans="1:3">
      <c r="A82" s="58" t="s">
        <v>261</v>
      </c>
      <c r="B82" s="58" t="s">
        <v>262</v>
      </c>
      <c r="C82" s="58" t="s">
        <v>263</v>
      </c>
    </row>
    <row r="83" spans="1:3">
      <c r="A83" s="58" t="s">
        <v>264</v>
      </c>
      <c r="B83" s="58" t="s">
        <v>265</v>
      </c>
      <c r="C83" s="58" t="s">
        <v>266</v>
      </c>
    </row>
    <row r="84" spans="1:3">
      <c r="A84" s="58" t="s">
        <v>267</v>
      </c>
      <c r="B84" s="58" t="s">
        <v>268</v>
      </c>
      <c r="C84" s="58" t="s">
        <v>269</v>
      </c>
    </row>
    <row r="85" spans="1:3">
      <c r="A85" s="58" t="s">
        <v>270</v>
      </c>
      <c r="B85" s="58" t="s">
        <v>271</v>
      </c>
      <c r="C85" s="58" t="s">
        <v>272</v>
      </c>
    </row>
    <row r="86" spans="1:3">
      <c r="A86" s="58" t="s">
        <v>273</v>
      </c>
      <c r="B86" s="58" t="s">
        <v>274</v>
      </c>
      <c r="C86" s="58" t="s">
        <v>275</v>
      </c>
    </row>
    <row r="87" spans="1:3">
      <c r="A87" s="58" t="s">
        <v>276</v>
      </c>
      <c r="B87" s="58" t="s">
        <v>277</v>
      </c>
      <c r="C87" s="58" t="s">
        <v>278</v>
      </c>
    </row>
    <row r="88" spans="1:3">
      <c r="A88" s="58" t="s">
        <v>279</v>
      </c>
      <c r="B88" s="58" t="s">
        <v>280</v>
      </c>
      <c r="C88" s="58" t="s">
        <v>281</v>
      </c>
    </row>
    <row r="89" spans="1:3">
      <c r="A89" s="58" t="s">
        <v>282</v>
      </c>
      <c r="B89" s="58" t="s">
        <v>283</v>
      </c>
      <c r="C89" s="58" t="s">
        <v>284</v>
      </c>
    </row>
    <row r="90" spans="1:3">
      <c r="A90" s="58" t="s">
        <v>285</v>
      </c>
      <c r="B90" s="58" t="s">
        <v>286</v>
      </c>
      <c r="C90" s="58" t="s">
        <v>287</v>
      </c>
    </row>
    <row r="91" spans="1:3">
      <c r="A91" s="58" t="s">
        <v>288</v>
      </c>
      <c r="B91" s="58" t="s">
        <v>289</v>
      </c>
      <c r="C91" s="58" t="s">
        <v>290</v>
      </c>
    </row>
    <row r="92" spans="1:3">
      <c r="A92" s="58" t="s">
        <v>291</v>
      </c>
      <c r="B92" s="58" t="s">
        <v>292</v>
      </c>
      <c r="C92" s="58" t="s">
        <v>293</v>
      </c>
    </row>
    <row r="93" spans="1:3">
      <c r="A93" s="58" t="s">
        <v>294</v>
      </c>
      <c r="B93" s="58" t="s">
        <v>295</v>
      </c>
      <c r="C93" s="58" t="s">
        <v>296</v>
      </c>
    </row>
    <row r="94" spans="1:3">
      <c r="A94" s="58" t="s">
        <v>297</v>
      </c>
      <c r="B94" s="58" t="s">
        <v>298</v>
      </c>
      <c r="C94" s="58" t="s">
        <v>299</v>
      </c>
    </row>
    <row r="95" spans="1:3">
      <c r="A95" s="58" t="s">
        <v>300</v>
      </c>
      <c r="B95" s="58" t="s">
        <v>301</v>
      </c>
      <c r="C95" s="58" t="s">
        <v>302</v>
      </c>
    </row>
    <row r="96" spans="1:3">
      <c r="A96" s="58" t="s">
        <v>303</v>
      </c>
      <c r="B96" s="58" t="s">
        <v>304</v>
      </c>
      <c r="C96" s="58" t="s">
        <v>305</v>
      </c>
    </row>
    <row r="97" spans="1:3">
      <c r="A97" s="58" t="s">
        <v>306</v>
      </c>
      <c r="B97" s="58" t="s">
        <v>304</v>
      </c>
      <c r="C97" s="58" t="s">
        <v>305</v>
      </c>
    </row>
    <row r="98" spans="1:3">
      <c r="A98" s="58" t="s">
        <v>307</v>
      </c>
      <c r="B98" s="58" t="s">
        <v>308</v>
      </c>
      <c r="C98" s="58" t="s">
        <v>309</v>
      </c>
    </row>
    <row r="99" spans="1:3">
      <c r="A99" s="58" t="s">
        <v>310</v>
      </c>
      <c r="B99" s="58" t="s">
        <v>308</v>
      </c>
      <c r="C99" s="58" t="s">
        <v>309</v>
      </c>
    </row>
    <row r="100" spans="1:3">
      <c r="A100" s="58" t="s">
        <v>311</v>
      </c>
      <c r="B100" s="58" t="s">
        <v>312</v>
      </c>
      <c r="C100" s="58" t="s">
        <v>313</v>
      </c>
    </row>
    <row r="101" spans="1:3">
      <c r="A101" s="58" t="s">
        <v>314</v>
      </c>
      <c r="B101" s="58" t="s">
        <v>312</v>
      </c>
      <c r="C101" s="58" t="s">
        <v>315</v>
      </c>
    </row>
    <row r="102" spans="1:3">
      <c r="A102" s="58" t="s">
        <v>316</v>
      </c>
      <c r="B102" s="58" t="s">
        <v>317</v>
      </c>
      <c r="C102" s="58" t="s">
        <v>318</v>
      </c>
    </row>
    <row r="103" spans="1:3">
      <c r="A103" s="58" t="s">
        <v>319</v>
      </c>
      <c r="B103" s="58" t="s">
        <v>317</v>
      </c>
      <c r="C103" s="58" t="s">
        <v>318</v>
      </c>
    </row>
    <row r="104" spans="1:3">
      <c r="A104" s="58" t="s">
        <v>320</v>
      </c>
      <c r="B104" s="58" t="s">
        <v>321</v>
      </c>
      <c r="C104" s="58" t="s">
        <v>322</v>
      </c>
    </row>
    <row r="105" spans="1:3">
      <c r="A105" s="58" t="s">
        <v>323</v>
      </c>
      <c r="B105" s="58" t="s">
        <v>321</v>
      </c>
      <c r="C105" s="58" t="s">
        <v>322</v>
      </c>
    </row>
    <row r="106" spans="1:3">
      <c r="A106" s="58" t="s">
        <v>324</v>
      </c>
      <c r="B106" s="58" t="s">
        <v>325</v>
      </c>
      <c r="C106" s="58" t="s">
        <v>326</v>
      </c>
    </row>
    <row r="107" spans="1:3">
      <c r="A107" s="58" t="s">
        <v>327</v>
      </c>
      <c r="B107" s="58" t="s">
        <v>325</v>
      </c>
      <c r="C107" s="58" t="s">
        <v>326</v>
      </c>
    </row>
    <row r="108" spans="1:3">
      <c r="A108" s="58" t="s">
        <v>328</v>
      </c>
      <c r="B108" s="58" t="s">
        <v>329</v>
      </c>
      <c r="C108" s="58" t="s">
        <v>330</v>
      </c>
    </row>
    <row r="109" spans="1:3">
      <c r="A109" s="58" t="s">
        <v>331</v>
      </c>
      <c r="B109" s="58" t="s">
        <v>332</v>
      </c>
      <c r="C109" s="58" t="s">
        <v>333</v>
      </c>
    </row>
    <row r="110" spans="1:3">
      <c r="A110" s="58" t="s">
        <v>334</v>
      </c>
      <c r="B110" s="58" t="s">
        <v>335</v>
      </c>
      <c r="C110" s="58" t="s">
        <v>336</v>
      </c>
    </row>
    <row r="111" spans="1:3">
      <c r="A111" s="58" t="s">
        <v>337</v>
      </c>
      <c r="B111" s="58" t="s">
        <v>335</v>
      </c>
      <c r="C111" s="58" t="s">
        <v>336</v>
      </c>
    </row>
    <row r="112" spans="1:3">
      <c r="A112" s="58" t="s">
        <v>338</v>
      </c>
      <c r="B112" s="58" t="s">
        <v>339</v>
      </c>
      <c r="C112" s="58" t="s">
        <v>340</v>
      </c>
    </row>
    <row r="113" spans="1:3">
      <c r="A113" s="58" t="s">
        <v>341</v>
      </c>
      <c r="B113" s="58" t="s">
        <v>342</v>
      </c>
      <c r="C113" s="58" t="s">
        <v>343</v>
      </c>
    </row>
    <row r="114" spans="1:3">
      <c r="A114" s="58" t="s">
        <v>344</v>
      </c>
      <c r="B114" s="58" t="s">
        <v>345</v>
      </c>
      <c r="C114" s="58" t="s">
        <v>346</v>
      </c>
    </row>
    <row r="115" spans="1:3">
      <c r="A115" s="58" t="s">
        <v>347</v>
      </c>
      <c r="B115" s="58" t="s">
        <v>348</v>
      </c>
      <c r="C115" s="58" t="s">
        <v>349</v>
      </c>
    </row>
    <row r="116" spans="1:3">
      <c r="A116" s="58" t="s">
        <v>350</v>
      </c>
      <c r="B116" s="58" t="s">
        <v>351</v>
      </c>
      <c r="C116" s="58" t="s">
        <v>352</v>
      </c>
    </row>
    <row r="117" spans="1:3">
      <c r="A117" s="58" t="s">
        <v>353</v>
      </c>
      <c r="B117" s="58" t="s">
        <v>354</v>
      </c>
      <c r="C117" s="58" t="s">
        <v>355</v>
      </c>
    </row>
    <row r="118" spans="1:3">
      <c r="A118" s="58" t="s">
        <v>356</v>
      </c>
      <c r="B118" s="58" t="s">
        <v>357</v>
      </c>
      <c r="C118" s="58" t="s">
        <v>358</v>
      </c>
    </row>
    <row r="119" spans="1:3">
      <c r="A119" s="58" t="s">
        <v>359</v>
      </c>
      <c r="B119" s="58" t="s">
        <v>360</v>
      </c>
      <c r="C119" s="58" t="s">
        <v>361</v>
      </c>
    </row>
    <row r="120" spans="1:3">
      <c r="A120" s="58" t="s">
        <v>362</v>
      </c>
      <c r="B120" s="58" t="s">
        <v>363</v>
      </c>
      <c r="C120" s="58" t="s">
        <v>364</v>
      </c>
    </row>
    <row r="121" spans="1:3">
      <c r="A121" s="58" t="s">
        <v>365</v>
      </c>
      <c r="B121" s="58" t="s">
        <v>366</v>
      </c>
      <c r="C121" s="58" t="s">
        <v>367</v>
      </c>
    </row>
    <row r="122" spans="1:3">
      <c r="A122" s="58" t="s">
        <v>368</v>
      </c>
      <c r="B122" s="58" t="s">
        <v>366</v>
      </c>
      <c r="C122" s="58" t="s">
        <v>367</v>
      </c>
    </row>
    <row r="123" spans="1:3">
      <c r="A123" s="58" t="s">
        <v>369</v>
      </c>
      <c r="B123" s="58" t="s">
        <v>370</v>
      </c>
      <c r="C123" s="58" t="s">
        <v>371</v>
      </c>
    </row>
    <row r="124" spans="1:3">
      <c r="A124" s="58" t="s">
        <v>372</v>
      </c>
      <c r="B124" s="58" t="s">
        <v>370</v>
      </c>
      <c r="C124" s="58" t="s">
        <v>371</v>
      </c>
    </row>
    <row r="125" spans="1:3">
      <c r="A125" s="58" t="s">
        <v>373</v>
      </c>
      <c r="B125" s="58" t="s">
        <v>374</v>
      </c>
      <c r="C125" s="58" t="s">
        <v>375</v>
      </c>
    </row>
    <row r="126" spans="1:3">
      <c r="A126" s="58" t="s">
        <v>376</v>
      </c>
      <c r="B126" s="58" t="s">
        <v>377</v>
      </c>
      <c r="C126" s="58" t="s">
        <v>378</v>
      </c>
    </row>
    <row r="127" spans="1:3">
      <c r="A127" s="58" t="s">
        <v>379</v>
      </c>
      <c r="B127" s="58" t="s">
        <v>380</v>
      </c>
      <c r="C127" s="58" t="s">
        <v>381</v>
      </c>
    </row>
    <row r="128" spans="1:3">
      <c r="A128" s="58" t="s">
        <v>382</v>
      </c>
      <c r="B128" s="58" t="s">
        <v>380</v>
      </c>
      <c r="C128" s="58" t="s">
        <v>381</v>
      </c>
    </row>
    <row r="129" spans="1:3">
      <c r="A129" s="58" t="s">
        <v>383</v>
      </c>
      <c r="B129" s="58" t="s">
        <v>384</v>
      </c>
      <c r="C129" s="58" t="s">
        <v>385</v>
      </c>
    </row>
    <row r="130" spans="1:3">
      <c r="A130" s="58" t="s">
        <v>386</v>
      </c>
      <c r="B130" s="58" t="s">
        <v>387</v>
      </c>
      <c r="C130" s="58" t="s">
        <v>388</v>
      </c>
    </row>
    <row r="131" spans="1:3">
      <c r="A131" s="58" t="s">
        <v>389</v>
      </c>
      <c r="B131" s="58" t="s">
        <v>390</v>
      </c>
      <c r="C131" s="58" t="s">
        <v>391</v>
      </c>
    </row>
    <row r="132" spans="1:3">
      <c r="A132" s="58" t="s">
        <v>392</v>
      </c>
      <c r="B132" s="58" t="s">
        <v>393</v>
      </c>
      <c r="C132" s="58" t="s">
        <v>394</v>
      </c>
    </row>
    <row r="133" spans="1:3">
      <c r="A133" s="58" t="s">
        <v>395</v>
      </c>
      <c r="B133" s="58" t="s">
        <v>393</v>
      </c>
      <c r="C133" s="58" t="s">
        <v>394</v>
      </c>
    </row>
    <row r="134" spans="1:3">
      <c r="A134" s="58" t="s">
        <v>396</v>
      </c>
      <c r="B134" s="58" t="s">
        <v>397</v>
      </c>
      <c r="C134" s="58" t="s">
        <v>398</v>
      </c>
    </row>
    <row r="135" spans="1:3">
      <c r="A135" s="58" t="s">
        <v>399</v>
      </c>
      <c r="B135" s="58" t="s">
        <v>400</v>
      </c>
      <c r="C135" s="58" t="s">
        <v>401</v>
      </c>
    </row>
    <row r="136" spans="1:3">
      <c r="A136" s="58" t="s">
        <v>402</v>
      </c>
      <c r="B136" s="58" t="s">
        <v>403</v>
      </c>
      <c r="C136" s="58" t="s">
        <v>404</v>
      </c>
    </row>
    <row r="137" spans="1:3">
      <c r="A137" s="58" t="s">
        <v>405</v>
      </c>
      <c r="B137" s="58" t="s">
        <v>406</v>
      </c>
      <c r="C137" s="58" t="s">
        <v>407</v>
      </c>
    </row>
    <row r="138" spans="1:3">
      <c r="A138" s="58" t="s">
        <v>408</v>
      </c>
      <c r="B138" s="58" t="s">
        <v>409</v>
      </c>
      <c r="C138" s="58" t="s">
        <v>410</v>
      </c>
    </row>
    <row r="139" spans="1:3">
      <c r="A139" s="58" t="s">
        <v>411</v>
      </c>
      <c r="B139" s="58" t="s">
        <v>412</v>
      </c>
      <c r="C139" s="58" t="s">
        <v>413</v>
      </c>
    </row>
    <row r="140" spans="1:3">
      <c r="A140" s="58" t="s">
        <v>414</v>
      </c>
      <c r="B140" s="58" t="s">
        <v>415</v>
      </c>
      <c r="C140" s="58" t="s">
        <v>416</v>
      </c>
    </row>
    <row r="141" spans="1:3">
      <c r="A141" s="58" t="s">
        <v>417</v>
      </c>
      <c r="B141" s="58" t="s">
        <v>418</v>
      </c>
      <c r="C141" s="58" t="s">
        <v>419</v>
      </c>
    </row>
    <row r="142" spans="1:3">
      <c r="A142" s="58" t="s">
        <v>420</v>
      </c>
      <c r="B142" s="58" t="s">
        <v>421</v>
      </c>
      <c r="C142" s="58" t="s">
        <v>422</v>
      </c>
    </row>
    <row r="143" spans="1:3">
      <c r="A143" s="58" t="s">
        <v>423</v>
      </c>
      <c r="B143" s="58" t="s">
        <v>421</v>
      </c>
      <c r="C143" s="58" t="s">
        <v>422</v>
      </c>
    </row>
    <row r="144" spans="1:3">
      <c r="A144" s="58" t="s">
        <v>424</v>
      </c>
      <c r="B144" s="58" t="s">
        <v>425</v>
      </c>
      <c r="C144" s="58" t="s">
        <v>426</v>
      </c>
    </row>
    <row r="145" spans="1:3">
      <c r="A145" s="58" t="s">
        <v>427</v>
      </c>
      <c r="B145" s="58" t="s">
        <v>428</v>
      </c>
      <c r="C145" s="58" t="s">
        <v>429</v>
      </c>
    </row>
    <row r="146" spans="1:3">
      <c r="A146" s="58" t="s">
        <v>430</v>
      </c>
      <c r="B146" s="58" t="s">
        <v>431</v>
      </c>
      <c r="C146" s="58" t="s">
        <v>432</v>
      </c>
    </row>
    <row r="147" spans="1:3">
      <c r="A147" s="58" t="s">
        <v>433</v>
      </c>
      <c r="B147" s="58" t="s">
        <v>434</v>
      </c>
      <c r="C147" s="58" t="s">
        <v>435</v>
      </c>
    </row>
    <row r="148" spans="1:3">
      <c r="A148" s="58" t="s">
        <v>436</v>
      </c>
      <c r="B148" s="58" t="s">
        <v>437</v>
      </c>
      <c r="C148" s="58" t="s">
        <v>438</v>
      </c>
    </row>
    <row r="149" spans="1:3">
      <c r="A149" s="58" t="s">
        <v>439</v>
      </c>
      <c r="B149" s="58" t="s">
        <v>440</v>
      </c>
      <c r="C149" s="58" t="s">
        <v>441</v>
      </c>
    </row>
    <row r="150" spans="1:3">
      <c r="A150" s="58" t="s">
        <v>442</v>
      </c>
      <c r="B150" s="58" t="s">
        <v>440</v>
      </c>
      <c r="C150" s="58" t="s">
        <v>441</v>
      </c>
    </row>
    <row r="151" spans="1:3">
      <c r="A151" s="58" t="s">
        <v>443</v>
      </c>
      <c r="B151" s="58" t="s">
        <v>444</v>
      </c>
      <c r="C151" s="58" t="s">
        <v>445</v>
      </c>
    </row>
    <row r="152" spans="1:3">
      <c r="A152" s="58" t="s">
        <v>446</v>
      </c>
      <c r="B152" s="58" t="s">
        <v>444</v>
      </c>
      <c r="C152" s="58" t="s">
        <v>445</v>
      </c>
    </row>
    <row r="153" spans="1:3">
      <c r="A153" s="58" t="s">
        <v>447</v>
      </c>
      <c r="B153" s="58" t="s">
        <v>448</v>
      </c>
      <c r="C153" s="58" t="s">
        <v>449</v>
      </c>
    </row>
    <row r="154" spans="1:3">
      <c r="A154" s="58" t="s">
        <v>450</v>
      </c>
      <c r="B154" s="58" t="s">
        <v>451</v>
      </c>
      <c r="C154" s="58" t="s">
        <v>452</v>
      </c>
    </row>
    <row r="155" spans="1:3">
      <c r="A155" s="58" t="s">
        <v>453</v>
      </c>
      <c r="B155" s="58" t="s">
        <v>454</v>
      </c>
      <c r="C155" s="58" t="s">
        <v>455</v>
      </c>
    </row>
    <row r="156" spans="1:3">
      <c r="A156" s="58" t="s">
        <v>456</v>
      </c>
      <c r="B156" s="58" t="s">
        <v>457</v>
      </c>
      <c r="C156" s="58" t="s">
        <v>458</v>
      </c>
    </row>
    <row r="157" spans="1:3">
      <c r="A157" s="58" t="s">
        <v>459</v>
      </c>
      <c r="B157" s="58" t="s">
        <v>460</v>
      </c>
      <c r="C157" s="58" t="s">
        <v>461</v>
      </c>
    </row>
    <row r="158" spans="1:3">
      <c r="A158" s="58" t="s">
        <v>462</v>
      </c>
      <c r="B158" s="58" t="s">
        <v>463</v>
      </c>
      <c r="C158" s="58" t="s">
        <v>426</v>
      </c>
    </row>
    <row r="159" spans="1:3">
      <c r="A159" s="58" t="s">
        <v>464</v>
      </c>
      <c r="B159" s="58" t="s">
        <v>465</v>
      </c>
      <c r="C159" s="58" t="s">
        <v>466</v>
      </c>
    </row>
    <row r="160" spans="1:3">
      <c r="A160" s="58" t="s">
        <v>467</v>
      </c>
      <c r="B160" s="58" t="s">
        <v>468</v>
      </c>
      <c r="C160" s="58" t="s">
        <v>469</v>
      </c>
    </row>
    <row r="161" spans="1:3">
      <c r="A161" s="58" t="s">
        <v>470</v>
      </c>
      <c r="B161" s="58" t="s">
        <v>471</v>
      </c>
      <c r="C161" s="58" t="s">
        <v>472</v>
      </c>
    </row>
    <row r="162" spans="1:3">
      <c r="A162" s="58" t="s">
        <v>473</v>
      </c>
      <c r="B162" s="58" t="s">
        <v>474</v>
      </c>
      <c r="C162" s="58" t="s">
        <v>475</v>
      </c>
    </row>
    <row r="163" spans="1:3">
      <c r="A163" s="58" t="s">
        <v>476</v>
      </c>
      <c r="B163" s="58" t="s">
        <v>477</v>
      </c>
      <c r="C163" s="58" t="s">
        <v>478</v>
      </c>
    </row>
    <row r="164" spans="1:3">
      <c r="A164" s="58" t="s">
        <v>479</v>
      </c>
      <c r="B164" s="58" t="s">
        <v>480</v>
      </c>
      <c r="C164" s="58" t="s">
        <v>481</v>
      </c>
    </row>
    <row r="165" spans="1:3">
      <c r="A165" s="58" t="s">
        <v>482</v>
      </c>
      <c r="B165" s="58" t="s">
        <v>483</v>
      </c>
      <c r="C165" s="58" t="s">
        <v>484</v>
      </c>
    </row>
    <row r="166" spans="1:3">
      <c r="A166" s="58" t="s">
        <v>485</v>
      </c>
      <c r="B166" s="58" t="s">
        <v>486</v>
      </c>
      <c r="C166" s="58" t="s">
        <v>487</v>
      </c>
    </row>
    <row r="167" spans="1:3">
      <c r="A167" s="58" t="s">
        <v>488</v>
      </c>
      <c r="B167" s="58" t="s">
        <v>489</v>
      </c>
      <c r="C167" s="58" t="s">
        <v>490</v>
      </c>
    </row>
    <row r="168" spans="1:3">
      <c r="A168" s="58" t="s">
        <v>491</v>
      </c>
      <c r="B168" s="58" t="s">
        <v>492</v>
      </c>
      <c r="C168" s="58" t="s">
        <v>493</v>
      </c>
    </row>
    <row r="169" spans="1:3">
      <c r="A169" s="58" t="s">
        <v>494</v>
      </c>
      <c r="B169" s="58" t="s">
        <v>492</v>
      </c>
      <c r="C169" s="58" t="s">
        <v>493</v>
      </c>
    </row>
    <row r="170" spans="1:3">
      <c r="A170" s="58" t="s">
        <v>495</v>
      </c>
      <c r="B170" s="58" t="s">
        <v>492</v>
      </c>
      <c r="C170" s="58" t="s">
        <v>493</v>
      </c>
    </row>
    <row r="171" spans="1:3">
      <c r="A171" s="58" t="s">
        <v>496</v>
      </c>
      <c r="B171" s="58" t="s">
        <v>497</v>
      </c>
      <c r="C171" s="58" t="s">
        <v>498</v>
      </c>
    </row>
    <row r="172" spans="1:3">
      <c r="A172" s="58" t="s">
        <v>499</v>
      </c>
      <c r="B172" s="58" t="s">
        <v>500</v>
      </c>
      <c r="C172" s="58" t="s">
        <v>501</v>
      </c>
    </row>
    <row r="173" spans="1:3">
      <c r="A173" s="58" t="s">
        <v>502</v>
      </c>
      <c r="B173" s="58" t="s">
        <v>503</v>
      </c>
      <c r="C173" s="58" t="s">
        <v>504</v>
      </c>
    </row>
    <row r="174" spans="1:3">
      <c r="A174" s="58" t="s">
        <v>505</v>
      </c>
      <c r="B174" s="58" t="s">
        <v>506</v>
      </c>
      <c r="C174" s="58" t="s">
        <v>507</v>
      </c>
    </row>
    <row r="175" spans="1:3">
      <c r="A175" s="58" t="s">
        <v>508</v>
      </c>
      <c r="B175" s="58" t="s">
        <v>509</v>
      </c>
      <c r="C175" s="58" t="s">
        <v>510</v>
      </c>
    </row>
    <row r="176" spans="1:3">
      <c r="A176" s="58" t="s">
        <v>511</v>
      </c>
      <c r="B176" s="58" t="s">
        <v>512</v>
      </c>
      <c r="C176" s="58" t="s">
        <v>513</v>
      </c>
    </row>
    <row r="177" spans="1:3">
      <c r="A177" s="58" t="s">
        <v>514</v>
      </c>
      <c r="B177" s="58" t="s">
        <v>515</v>
      </c>
      <c r="C177" s="58" t="s">
        <v>504</v>
      </c>
    </row>
    <row r="178" spans="1:3">
      <c r="A178" s="58" t="s">
        <v>516</v>
      </c>
      <c r="B178" s="58" t="s">
        <v>517</v>
      </c>
      <c r="C178" s="58" t="s">
        <v>518</v>
      </c>
    </row>
    <row r="179" spans="1:3">
      <c r="A179" s="58" t="s">
        <v>519</v>
      </c>
      <c r="B179" s="58" t="s">
        <v>520</v>
      </c>
      <c r="C179" s="58" t="s">
        <v>521</v>
      </c>
    </row>
    <row r="180" spans="1:3">
      <c r="A180" s="58" t="s">
        <v>522</v>
      </c>
      <c r="B180" s="58" t="s">
        <v>523</v>
      </c>
      <c r="C180" s="58" t="s">
        <v>524</v>
      </c>
    </row>
    <row r="181" spans="1:3">
      <c r="A181" s="58" t="s">
        <v>525</v>
      </c>
      <c r="B181" s="58" t="s">
        <v>526</v>
      </c>
      <c r="C181" s="58" t="s">
        <v>527</v>
      </c>
    </row>
    <row r="182" spans="1:3">
      <c r="A182" s="58" t="s">
        <v>528</v>
      </c>
      <c r="B182" s="58" t="s">
        <v>529</v>
      </c>
      <c r="C182" s="58" t="s">
        <v>530</v>
      </c>
    </row>
    <row r="183" spans="1:3">
      <c r="A183" s="58" t="s">
        <v>531</v>
      </c>
      <c r="B183" s="58" t="s">
        <v>529</v>
      </c>
      <c r="C183" s="58" t="s">
        <v>530</v>
      </c>
    </row>
    <row r="184" spans="1:3">
      <c r="A184" s="58" t="s">
        <v>532</v>
      </c>
      <c r="B184" s="58" t="s">
        <v>533</v>
      </c>
      <c r="C184" s="58" t="s">
        <v>534</v>
      </c>
    </row>
    <row r="185" spans="1:3">
      <c r="A185" s="58" t="s">
        <v>535</v>
      </c>
      <c r="B185" s="58" t="s">
        <v>536</v>
      </c>
      <c r="C185" s="58" t="s">
        <v>537</v>
      </c>
    </row>
    <row r="186" spans="1:3">
      <c r="A186" s="58" t="s">
        <v>538</v>
      </c>
      <c r="B186" s="58" t="s">
        <v>539</v>
      </c>
      <c r="C186" s="58" t="s">
        <v>540</v>
      </c>
    </row>
    <row r="187" spans="1:3">
      <c r="A187" s="58" t="s">
        <v>541</v>
      </c>
      <c r="B187" s="58" t="s">
        <v>542</v>
      </c>
      <c r="C187" s="58" t="s">
        <v>543</v>
      </c>
    </row>
    <row r="188" spans="1:3">
      <c r="A188" s="58" t="s">
        <v>544</v>
      </c>
      <c r="B188" s="58" t="s">
        <v>542</v>
      </c>
      <c r="C188" s="58" t="s">
        <v>543</v>
      </c>
    </row>
    <row r="189" spans="1:3">
      <c r="A189" s="58" t="s">
        <v>545</v>
      </c>
      <c r="B189" s="58" t="s">
        <v>542</v>
      </c>
      <c r="C189" s="58" t="s">
        <v>543</v>
      </c>
    </row>
    <row r="190" spans="1:3">
      <c r="A190" s="58" t="s">
        <v>546</v>
      </c>
      <c r="B190" s="58" t="s">
        <v>547</v>
      </c>
      <c r="C190" s="58" t="s">
        <v>548</v>
      </c>
    </row>
    <row r="191" spans="1:3">
      <c r="A191" s="58" t="s">
        <v>549</v>
      </c>
      <c r="B191" s="58" t="s">
        <v>550</v>
      </c>
      <c r="C191" s="58" t="s">
        <v>543</v>
      </c>
    </row>
    <row r="192" spans="1:3">
      <c r="A192" s="58" t="s">
        <v>551</v>
      </c>
      <c r="B192" s="58" t="s">
        <v>552</v>
      </c>
      <c r="C192" s="58" t="s">
        <v>553</v>
      </c>
    </row>
    <row r="193" spans="1:3">
      <c r="A193" s="58" t="s">
        <v>554</v>
      </c>
      <c r="B193" s="58" t="s">
        <v>555</v>
      </c>
      <c r="C193" s="58" t="s">
        <v>556</v>
      </c>
    </row>
    <row r="194" spans="1:3">
      <c r="A194" s="58" t="s">
        <v>557</v>
      </c>
      <c r="B194" s="58" t="s">
        <v>555</v>
      </c>
      <c r="C194" s="58" t="s">
        <v>556</v>
      </c>
    </row>
    <row r="195" spans="1:3">
      <c r="A195" s="58" t="s">
        <v>558</v>
      </c>
      <c r="B195" s="58" t="s">
        <v>559</v>
      </c>
      <c r="C195" s="58" t="s">
        <v>560</v>
      </c>
    </row>
    <row r="196" spans="1:3">
      <c r="A196" s="58" t="s">
        <v>561</v>
      </c>
      <c r="B196" s="58" t="s">
        <v>562</v>
      </c>
      <c r="C196" s="58" t="s">
        <v>563</v>
      </c>
    </row>
    <row r="197" spans="1:3">
      <c r="A197" s="58" t="s">
        <v>564</v>
      </c>
      <c r="B197" s="58" t="s">
        <v>565</v>
      </c>
      <c r="C197" s="58" t="s">
        <v>566</v>
      </c>
    </row>
    <row r="198" spans="1:3">
      <c r="A198" s="58" t="s">
        <v>567</v>
      </c>
      <c r="B198" s="58" t="s">
        <v>568</v>
      </c>
      <c r="C198" s="58" t="s">
        <v>569</v>
      </c>
    </row>
    <row r="199" spans="1:3">
      <c r="A199" s="58" t="s">
        <v>570</v>
      </c>
      <c r="B199" s="58" t="s">
        <v>571</v>
      </c>
      <c r="C199" s="58" t="s">
        <v>572</v>
      </c>
    </row>
    <row r="200" spans="1:3">
      <c r="A200" s="58" t="s">
        <v>573</v>
      </c>
      <c r="B200" s="58" t="s">
        <v>574</v>
      </c>
      <c r="C200" s="58" t="s">
        <v>575</v>
      </c>
    </row>
    <row r="201" spans="1:3">
      <c r="A201" s="58" t="s">
        <v>576</v>
      </c>
      <c r="B201" s="58" t="s">
        <v>577</v>
      </c>
      <c r="C201" s="58" t="s">
        <v>578</v>
      </c>
    </row>
    <row r="202" spans="1:3">
      <c r="A202" s="58" t="s">
        <v>579</v>
      </c>
      <c r="B202" s="58" t="s">
        <v>580</v>
      </c>
      <c r="C202" s="58" t="s">
        <v>581</v>
      </c>
    </row>
    <row r="203" spans="1:3">
      <c r="A203" s="58" t="s">
        <v>582</v>
      </c>
      <c r="B203" s="58" t="s">
        <v>583</v>
      </c>
      <c r="C203" s="58" t="s">
        <v>584</v>
      </c>
    </row>
    <row r="204" spans="1:3">
      <c r="A204" s="58" t="s">
        <v>585</v>
      </c>
      <c r="B204" s="58" t="s">
        <v>586</v>
      </c>
      <c r="C204" s="58" t="s">
        <v>587</v>
      </c>
    </row>
    <row r="205" spans="1:3">
      <c r="A205" s="58" t="s">
        <v>588</v>
      </c>
      <c r="B205" s="58" t="s">
        <v>589</v>
      </c>
      <c r="C205" s="58" t="s">
        <v>590</v>
      </c>
    </row>
    <row r="206" spans="1:3">
      <c r="A206" s="58" t="s">
        <v>591</v>
      </c>
      <c r="B206" s="58" t="s">
        <v>592</v>
      </c>
      <c r="C206" s="58" t="s">
        <v>593</v>
      </c>
    </row>
    <row r="207" spans="1:3">
      <c r="A207" s="58" t="s">
        <v>594</v>
      </c>
      <c r="B207" s="58" t="s">
        <v>595</v>
      </c>
      <c r="C207" s="58" t="s">
        <v>596</v>
      </c>
    </row>
    <row r="208" spans="1:3">
      <c r="A208" s="58" t="s">
        <v>597</v>
      </c>
      <c r="B208" s="58" t="s">
        <v>598</v>
      </c>
      <c r="C208" s="58" t="s">
        <v>599</v>
      </c>
    </row>
    <row r="209" spans="1:3">
      <c r="A209" s="58" t="s">
        <v>600</v>
      </c>
      <c r="B209" s="58" t="s">
        <v>601</v>
      </c>
      <c r="C209" s="58" t="s">
        <v>602</v>
      </c>
    </row>
    <row r="210" spans="1:3">
      <c r="A210" s="58" t="s">
        <v>603</v>
      </c>
      <c r="B210" s="58" t="s">
        <v>604</v>
      </c>
      <c r="C210" s="58" t="s">
        <v>605</v>
      </c>
    </row>
    <row r="211" spans="1:3">
      <c r="A211" s="58" t="s">
        <v>606</v>
      </c>
      <c r="B211" s="58" t="s">
        <v>607</v>
      </c>
      <c r="C211" s="58" t="s">
        <v>608</v>
      </c>
    </row>
    <row r="212" spans="1:3">
      <c r="A212" s="58" t="s">
        <v>609</v>
      </c>
      <c r="B212" s="58" t="s">
        <v>610</v>
      </c>
      <c r="C212" s="58" t="s">
        <v>611</v>
      </c>
    </row>
    <row r="213" spans="1:3">
      <c r="A213" s="58" t="s">
        <v>612</v>
      </c>
      <c r="B213" s="58" t="s">
        <v>613</v>
      </c>
      <c r="C213" s="58" t="s">
        <v>614</v>
      </c>
    </row>
    <row r="214" spans="1:3">
      <c r="A214" s="58" t="s">
        <v>615</v>
      </c>
      <c r="B214" s="58" t="s">
        <v>616</v>
      </c>
      <c r="C214" s="58" t="s">
        <v>617</v>
      </c>
    </row>
    <row r="215" spans="1:3">
      <c r="A215" s="58" t="s">
        <v>618</v>
      </c>
      <c r="B215" s="58" t="s">
        <v>619</v>
      </c>
      <c r="C215" s="58" t="s">
        <v>620</v>
      </c>
    </row>
    <row r="216" spans="1:3">
      <c r="A216" s="58" t="s">
        <v>621</v>
      </c>
      <c r="B216" s="58" t="s">
        <v>619</v>
      </c>
      <c r="C216" s="58" t="s">
        <v>620</v>
      </c>
    </row>
    <row r="217" spans="1:3">
      <c r="A217" s="58" t="s">
        <v>622</v>
      </c>
      <c r="B217" s="58" t="s">
        <v>623</v>
      </c>
      <c r="C217" s="58" t="s">
        <v>624</v>
      </c>
    </row>
    <row r="218" spans="1:3">
      <c r="A218" s="58" t="s">
        <v>625</v>
      </c>
      <c r="B218" s="58" t="s">
        <v>623</v>
      </c>
      <c r="C218" s="58" t="s">
        <v>624</v>
      </c>
    </row>
    <row r="219" spans="1:3">
      <c r="A219" s="58" t="s">
        <v>626</v>
      </c>
      <c r="B219" s="58" t="s">
        <v>627</v>
      </c>
      <c r="C219" s="58" t="s">
        <v>628</v>
      </c>
    </row>
    <row r="220" spans="1:3">
      <c r="A220" s="58" t="s">
        <v>629</v>
      </c>
      <c r="B220" s="58" t="s">
        <v>627</v>
      </c>
      <c r="C220" s="58" t="s">
        <v>628</v>
      </c>
    </row>
    <row r="221" spans="1:3">
      <c r="A221" s="58" t="s">
        <v>630</v>
      </c>
      <c r="B221" s="58" t="s">
        <v>631</v>
      </c>
      <c r="C221" s="58" t="s">
        <v>632</v>
      </c>
    </row>
    <row r="222" spans="1:3">
      <c r="A222" s="58" t="s">
        <v>633</v>
      </c>
      <c r="B222" s="58" t="s">
        <v>634</v>
      </c>
      <c r="C222" s="58" t="s">
        <v>635</v>
      </c>
    </row>
    <row r="223" spans="1:3">
      <c r="A223" s="58" t="s">
        <v>636</v>
      </c>
      <c r="B223" s="58" t="s">
        <v>637</v>
      </c>
      <c r="C223" s="58" t="s">
        <v>638</v>
      </c>
    </row>
    <row r="224" spans="1:3">
      <c r="A224" s="58" t="s">
        <v>639</v>
      </c>
      <c r="B224" s="58" t="s">
        <v>640</v>
      </c>
      <c r="C224" s="58" t="s">
        <v>641</v>
      </c>
    </row>
    <row r="225" spans="1:3">
      <c r="A225" s="58" t="s">
        <v>642</v>
      </c>
      <c r="B225" s="58" t="s">
        <v>643</v>
      </c>
      <c r="C225" s="58" t="s">
        <v>644</v>
      </c>
    </row>
    <row r="226" spans="1:3">
      <c r="A226" s="58" t="s">
        <v>645</v>
      </c>
      <c r="B226" s="58" t="s">
        <v>646</v>
      </c>
      <c r="C226" s="58" t="s">
        <v>647</v>
      </c>
    </row>
    <row r="227" spans="1:3">
      <c r="A227" s="58" t="s">
        <v>648</v>
      </c>
      <c r="B227" s="58" t="s">
        <v>649</v>
      </c>
      <c r="C227" s="58" t="s">
        <v>650</v>
      </c>
    </row>
    <row r="228" spans="1:3">
      <c r="A228" s="58" t="s">
        <v>651</v>
      </c>
      <c r="B228" s="58" t="s">
        <v>649</v>
      </c>
      <c r="C228" s="58" t="s">
        <v>650</v>
      </c>
    </row>
    <row r="229" spans="1:3">
      <c r="A229" s="58" t="s">
        <v>652</v>
      </c>
      <c r="B229" s="58" t="s">
        <v>653</v>
      </c>
      <c r="C229" s="58" t="s">
        <v>654</v>
      </c>
    </row>
    <row r="230" spans="1:3">
      <c r="A230" s="58" t="s">
        <v>655</v>
      </c>
      <c r="B230" s="58" t="s">
        <v>656</v>
      </c>
      <c r="C230" s="58" t="s">
        <v>657</v>
      </c>
    </row>
    <row r="231" spans="1:3">
      <c r="A231" s="58" t="s">
        <v>658</v>
      </c>
      <c r="B231" s="58" t="s">
        <v>659</v>
      </c>
      <c r="C231" s="58" t="s">
        <v>660</v>
      </c>
    </row>
    <row r="232" spans="1:3">
      <c r="A232" s="58" t="s">
        <v>661</v>
      </c>
      <c r="B232" s="58" t="s">
        <v>662</v>
      </c>
      <c r="C232" s="58" t="s">
        <v>663</v>
      </c>
    </row>
    <row r="233" spans="1:3">
      <c r="A233" s="58" t="s">
        <v>664</v>
      </c>
      <c r="B233" s="58" t="s">
        <v>665</v>
      </c>
      <c r="C233" s="58" t="s">
        <v>666</v>
      </c>
    </row>
    <row r="234" spans="1:3">
      <c r="A234" s="58" t="s">
        <v>667</v>
      </c>
      <c r="B234" s="58" t="s">
        <v>668</v>
      </c>
      <c r="C234" s="58" t="s">
        <v>669</v>
      </c>
    </row>
    <row r="235" spans="1:3">
      <c r="A235" s="58" t="s">
        <v>670</v>
      </c>
      <c r="B235" s="58" t="s">
        <v>671</v>
      </c>
      <c r="C235" s="58" t="s">
        <v>672</v>
      </c>
    </row>
    <row r="236" spans="1:3">
      <c r="A236" s="58" t="s">
        <v>673</v>
      </c>
      <c r="B236" s="58" t="s">
        <v>674</v>
      </c>
      <c r="C236" s="58" t="s">
        <v>675</v>
      </c>
    </row>
    <row r="237" spans="1:3">
      <c r="A237" s="58" t="s">
        <v>676</v>
      </c>
      <c r="B237" s="58" t="s">
        <v>677</v>
      </c>
      <c r="C237" s="58" t="s">
        <v>678</v>
      </c>
    </row>
    <row r="238" spans="1:3">
      <c r="A238" s="58" t="s">
        <v>679</v>
      </c>
      <c r="B238" s="58" t="s">
        <v>680</v>
      </c>
      <c r="C238" s="58" t="s">
        <v>681</v>
      </c>
    </row>
    <row r="239" spans="1:3">
      <c r="A239" s="58" t="s">
        <v>682</v>
      </c>
      <c r="B239" s="58" t="s">
        <v>683</v>
      </c>
      <c r="C239" s="58" t="s">
        <v>684</v>
      </c>
    </row>
    <row r="240" spans="1:3">
      <c r="A240" s="58" t="s">
        <v>685</v>
      </c>
      <c r="B240" s="58" t="s">
        <v>686</v>
      </c>
      <c r="C240" s="58" t="s">
        <v>687</v>
      </c>
    </row>
    <row r="241" spans="1:3">
      <c r="A241" s="58" t="s">
        <v>688</v>
      </c>
      <c r="B241" s="58" t="s">
        <v>689</v>
      </c>
      <c r="C241" s="58" t="s">
        <v>690</v>
      </c>
    </row>
    <row r="242" spans="1:3">
      <c r="A242" s="58" t="s">
        <v>691</v>
      </c>
      <c r="B242" s="58" t="s">
        <v>692</v>
      </c>
      <c r="C242" s="58" t="s">
        <v>693</v>
      </c>
    </row>
    <row r="243" spans="1:3">
      <c r="A243" s="58" t="s">
        <v>694</v>
      </c>
      <c r="B243" s="58" t="s">
        <v>695</v>
      </c>
      <c r="C243" s="58" t="s">
        <v>696</v>
      </c>
    </row>
    <row r="244" spans="1:3">
      <c r="A244" s="58" t="s">
        <v>697</v>
      </c>
      <c r="B244" s="58" t="s">
        <v>695</v>
      </c>
      <c r="C244" s="58" t="s">
        <v>696</v>
      </c>
    </row>
    <row r="245" spans="1:3">
      <c r="A245" s="58" t="s">
        <v>698</v>
      </c>
      <c r="B245" s="58" t="s">
        <v>699</v>
      </c>
      <c r="C245" s="58" t="s">
        <v>700</v>
      </c>
    </row>
    <row r="246" spans="1:3">
      <c r="A246" s="58" t="s">
        <v>701</v>
      </c>
      <c r="B246" s="58" t="s">
        <v>699</v>
      </c>
      <c r="C246" s="58" t="s">
        <v>700</v>
      </c>
    </row>
    <row r="247" spans="1:3">
      <c r="A247" s="58" t="s">
        <v>702</v>
      </c>
      <c r="B247" s="58" t="s">
        <v>703</v>
      </c>
      <c r="C247" s="58" t="s">
        <v>704</v>
      </c>
    </row>
    <row r="248" spans="1:3">
      <c r="A248" s="58" t="s">
        <v>705</v>
      </c>
      <c r="B248" s="58" t="s">
        <v>706</v>
      </c>
      <c r="C248" s="58" t="s">
        <v>707</v>
      </c>
    </row>
    <row r="249" spans="1:3">
      <c r="A249" s="58" t="s">
        <v>708</v>
      </c>
      <c r="B249" s="58" t="s">
        <v>709</v>
      </c>
      <c r="C249" s="58" t="s">
        <v>710</v>
      </c>
    </row>
    <row r="250" spans="1:3">
      <c r="A250" s="58" t="s">
        <v>711</v>
      </c>
      <c r="B250" s="58" t="s">
        <v>712</v>
      </c>
      <c r="C250" s="58" t="s">
        <v>713</v>
      </c>
    </row>
    <row r="251" spans="1:3">
      <c r="A251" s="58" t="s">
        <v>714</v>
      </c>
      <c r="B251" s="58" t="s">
        <v>715</v>
      </c>
      <c r="C251" s="58" t="s">
        <v>716</v>
      </c>
    </row>
    <row r="252" spans="1:3">
      <c r="A252" s="58" t="s">
        <v>717</v>
      </c>
      <c r="B252" s="58" t="s">
        <v>718</v>
      </c>
      <c r="C252" s="58" t="s">
        <v>719</v>
      </c>
    </row>
    <row r="253" spans="1:3">
      <c r="A253" s="58" t="s">
        <v>720</v>
      </c>
      <c r="B253" s="58" t="s">
        <v>721</v>
      </c>
      <c r="C253" s="58" t="s">
        <v>722</v>
      </c>
    </row>
    <row r="254" spans="1:3">
      <c r="A254" s="58" t="s">
        <v>723</v>
      </c>
      <c r="B254" s="58" t="s">
        <v>721</v>
      </c>
      <c r="C254" s="58" t="s">
        <v>722</v>
      </c>
    </row>
    <row r="255" spans="1:3">
      <c r="A255" s="58" t="s">
        <v>724</v>
      </c>
      <c r="B255" s="58" t="s">
        <v>725</v>
      </c>
      <c r="C255" s="58" t="s">
        <v>726</v>
      </c>
    </row>
    <row r="256" spans="1:3">
      <c r="A256" s="58" t="s">
        <v>727</v>
      </c>
      <c r="B256" s="58" t="s">
        <v>728</v>
      </c>
      <c r="C256" s="58" t="s">
        <v>729</v>
      </c>
    </row>
    <row r="257" spans="1:3">
      <c r="A257" s="58" t="s">
        <v>730</v>
      </c>
      <c r="B257" s="58" t="s">
        <v>731</v>
      </c>
      <c r="C257" s="58" t="s">
        <v>732</v>
      </c>
    </row>
    <row r="258" spans="1:3">
      <c r="A258" s="58" t="s">
        <v>733</v>
      </c>
      <c r="B258" s="58" t="s">
        <v>734</v>
      </c>
      <c r="C258" s="58" t="s">
        <v>735</v>
      </c>
    </row>
    <row r="259" spans="1:3">
      <c r="A259" s="58" t="s">
        <v>736</v>
      </c>
      <c r="B259" s="58" t="s">
        <v>734</v>
      </c>
      <c r="C259" s="58" t="s">
        <v>735</v>
      </c>
    </row>
    <row r="260" spans="1:3">
      <c r="A260" s="58" t="s">
        <v>737</v>
      </c>
      <c r="B260" s="58" t="s">
        <v>734</v>
      </c>
      <c r="C260" s="58" t="s">
        <v>735</v>
      </c>
    </row>
    <row r="261" spans="1:3">
      <c r="A261" s="58" t="s">
        <v>738</v>
      </c>
      <c r="B261" s="58" t="s">
        <v>739</v>
      </c>
      <c r="C261" s="58" t="s">
        <v>735</v>
      </c>
    </row>
    <row r="262" spans="1:3">
      <c r="A262" s="58" t="s">
        <v>740</v>
      </c>
      <c r="B262" s="58" t="s">
        <v>741</v>
      </c>
      <c r="C262" s="58" t="s">
        <v>742</v>
      </c>
    </row>
    <row r="263" spans="1:3">
      <c r="A263" s="58" t="s">
        <v>743</v>
      </c>
      <c r="B263" s="58" t="s">
        <v>744</v>
      </c>
      <c r="C263" s="58" t="s">
        <v>745</v>
      </c>
    </row>
    <row r="264" spans="1:3">
      <c r="A264" s="58" t="s">
        <v>746</v>
      </c>
      <c r="B264" s="58" t="s">
        <v>747</v>
      </c>
      <c r="C264" s="58" t="s">
        <v>748</v>
      </c>
    </row>
    <row r="265" spans="1:3">
      <c r="A265" s="58" t="s">
        <v>749</v>
      </c>
      <c r="B265" s="58" t="s">
        <v>750</v>
      </c>
      <c r="C265" s="58" t="s">
        <v>751</v>
      </c>
    </row>
    <row r="266" spans="1:3">
      <c r="A266" s="58" t="s">
        <v>752</v>
      </c>
      <c r="B266" s="58" t="s">
        <v>753</v>
      </c>
      <c r="C266" s="58" t="s">
        <v>754</v>
      </c>
    </row>
    <row r="267" spans="1:3">
      <c r="A267" s="58" t="s">
        <v>755</v>
      </c>
      <c r="B267" s="58" t="s">
        <v>756</v>
      </c>
      <c r="C267" s="58" t="s">
        <v>757</v>
      </c>
    </row>
    <row r="268" spans="1:3">
      <c r="A268" s="58" t="s">
        <v>758</v>
      </c>
      <c r="B268" s="58" t="s">
        <v>759</v>
      </c>
      <c r="C268" s="58" t="s">
        <v>760</v>
      </c>
    </row>
    <row r="269" spans="1:3">
      <c r="A269" s="58" t="s">
        <v>761</v>
      </c>
      <c r="B269" s="58" t="s">
        <v>762</v>
      </c>
      <c r="C269" s="58" t="s">
        <v>763</v>
      </c>
    </row>
    <row r="270" spans="1:3">
      <c r="A270" s="58" t="s">
        <v>764</v>
      </c>
      <c r="B270" s="58" t="s">
        <v>765</v>
      </c>
      <c r="C270" s="58" t="s">
        <v>766</v>
      </c>
    </row>
    <row r="271" spans="1:3">
      <c r="A271" s="58" t="s">
        <v>767</v>
      </c>
      <c r="B271" s="58" t="s">
        <v>765</v>
      </c>
      <c r="C271" s="58" t="s">
        <v>766</v>
      </c>
    </row>
    <row r="272" spans="1:3">
      <c r="A272" s="58" t="s">
        <v>768</v>
      </c>
      <c r="B272" s="58" t="s">
        <v>769</v>
      </c>
      <c r="C272" s="58" t="s">
        <v>770</v>
      </c>
    </row>
    <row r="273" spans="1:3">
      <c r="A273" s="58" t="s">
        <v>771</v>
      </c>
      <c r="B273" s="58" t="s">
        <v>772</v>
      </c>
      <c r="C273" s="58" t="s">
        <v>773</v>
      </c>
    </row>
    <row r="274" spans="1:3">
      <c r="A274" s="58" t="s">
        <v>774</v>
      </c>
      <c r="B274" s="58" t="s">
        <v>775</v>
      </c>
      <c r="C274" s="58" t="s">
        <v>776</v>
      </c>
    </row>
    <row r="275" spans="1:3">
      <c r="A275" s="58" t="s">
        <v>777</v>
      </c>
      <c r="B275" s="58" t="s">
        <v>778</v>
      </c>
      <c r="C275" s="58" t="s">
        <v>779</v>
      </c>
    </row>
    <row r="276" spans="1:3">
      <c r="A276" s="58" t="s">
        <v>780</v>
      </c>
      <c r="B276" s="58" t="s">
        <v>778</v>
      </c>
      <c r="C276" s="58" t="s">
        <v>779</v>
      </c>
    </row>
    <row r="277" spans="1:3">
      <c r="A277" s="58" t="s">
        <v>781</v>
      </c>
      <c r="B277" s="58" t="s">
        <v>782</v>
      </c>
      <c r="C277" s="58" t="s">
        <v>783</v>
      </c>
    </row>
    <row r="278" spans="1:3">
      <c r="A278" s="58" t="s">
        <v>784</v>
      </c>
      <c r="B278" s="58" t="s">
        <v>785</v>
      </c>
      <c r="C278" s="58" t="s">
        <v>786</v>
      </c>
    </row>
    <row r="279" spans="1:3">
      <c r="A279" s="58" t="s">
        <v>787</v>
      </c>
      <c r="B279" s="58" t="s">
        <v>788</v>
      </c>
      <c r="C279" s="58" t="s">
        <v>789</v>
      </c>
    </row>
    <row r="280" spans="1:3">
      <c r="A280" s="58" t="s">
        <v>790</v>
      </c>
      <c r="B280" s="58" t="s">
        <v>791</v>
      </c>
      <c r="C280" s="58" t="s">
        <v>792</v>
      </c>
    </row>
    <row r="281" spans="1:3">
      <c r="A281" s="58" t="s">
        <v>793</v>
      </c>
      <c r="B281" s="58" t="s">
        <v>794</v>
      </c>
      <c r="C281" s="58" t="s">
        <v>795</v>
      </c>
    </row>
    <row r="282" spans="1:3">
      <c r="A282" s="58" t="s">
        <v>796</v>
      </c>
      <c r="B282" s="58" t="s">
        <v>794</v>
      </c>
      <c r="C282" s="58" t="s">
        <v>795</v>
      </c>
    </row>
    <row r="283" spans="1:3">
      <c r="A283" s="58" t="s">
        <v>797</v>
      </c>
      <c r="B283" s="58" t="s">
        <v>798</v>
      </c>
      <c r="C283" s="58" t="s">
        <v>799</v>
      </c>
    </row>
    <row r="284" spans="1:3">
      <c r="A284" s="58" t="s">
        <v>800</v>
      </c>
      <c r="B284" s="58" t="s">
        <v>801</v>
      </c>
      <c r="C284" s="58" t="s">
        <v>802</v>
      </c>
    </row>
    <row r="285" spans="1:3">
      <c r="A285" s="58" t="s">
        <v>803</v>
      </c>
      <c r="B285" s="58" t="s">
        <v>801</v>
      </c>
      <c r="C285" s="58" t="s">
        <v>802</v>
      </c>
    </row>
    <row r="286" spans="1:3">
      <c r="A286" s="58" t="s">
        <v>804</v>
      </c>
      <c r="B286" s="58" t="s">
        <v>805</v>
      </c>
      <c r="C286" s="58" t="s">
        <v>806</v>
      </c>
    </row>
    <row r="287" spans="1:3">
      <c r="A287" s="58" t="s">
        <v>807</v>
      </c>
      <c r="B287" s="58" t="s">
        <v>808</v>
      </c>
      <c r="C287" s="58" t="s">
        <v>809</v>
      </c>
    </row>
    <row r="288" spans="1:3">
      <c r="A288" s="58" t="s">
        <v>810</v>
      </c>
      <c r="B288" s="58" t="s">
        <v>811</v>
      </c>
      <c r="C288" s="58" t="s">
        <v>812</v>
      </c>
    </row>
    <row r="289" spans="1:3">
      <c r="A289" s="58" t="s">
        <v>813</v>
      </c>
      <c r="B289" s="58" t="s">
        <v>814</v>
      </c>
      <c r="C289" s="58" t="s">
        <v>815</v>
      </c>
    </row>
    <row r="290" spans="1:3">
      <c r="A290" s="58" t="s">
        <v>816</v>
      </c>
      <c r="B290" s="58" t="s">
        <v>817</v>
      </c>
      <c r="C290" s="58" t="s">
        <v>818</v>
      </c>
    </row>
    <row r="291" spans="1:3">
      <c r="A291" s="58" t="s">
        <v>819</v>
      </c>
      <c r="B291" s="58" t="s">
        <v>820</v>
      </c>
      <c r="C291" s="58" t="s">
        <v>821</v>
      </c>
    </row>
    <row r="292" spans="1:3">
      <c r="A292" s="58" t="s">
        <v>822</v>
      </c>
      <c r="B292" s="58" t="s">
        <v>823</v>
      </c>
      <c r="C292" s="58" t="s">
        <v>824</v>
      </c>
    </row>
    <row r="293" spans="1:3">
      <c r="A293" s="58" t="s">
        <v>825</v>
      </c>
      <c r="B293" s="58" t="s">
        <v>826</v>
      </c>
      <c r="C293" s="58" t="s">
        <v>827</v>
      </c>
    </row>
    <row r="294" spans="1:3">
      <c r="A294" s="58" t="s">
        <v>828</v>
      </c>
      <c r="B294" s="58" t="s">
        <v>829</v>
      </c>
      <c r="C294" s="58" t="s">
        <v>830</v>
      </c>
    </row>
    <row r="295" spans="1:3">
      <c r="A295" s="58" t="s">
        <v>831</v>
      </c>
      <c r="B295" s="58" t="s">
        <v>832</v>
      </c>
      <c r="C295" s="58" t="s">
        <v>833</v>
      </c>
    </row>
    <row r="296" spans="1:3">
      <c r="A296" s="58" t="s">
        <v>834</v>
      </c>
      <c r="B296" s="58" t="s">
        <v>835</v>
      </c>
      <c r="C296" s="58" t="s">
        <v>836</v>
      </c>
    </row>
    <row r="297" spans="1:3">
      <c r="A297" s="58" t="s">
        <v>837</v>
      </c>
      <c r="B297" s="58" t="s">
        <v>838</v>
      </c>
      <c r="C297" s="58" t="s">
        <v>839</v>
      </c>
    </row>
    <row r="298" spans="1:3">
      <c r="A298" s="58" t="s">
        <v>840</v>
      </c>
      <c r="B298" s="58" t="s">
        <v>841</v>
      </c>
      <c r="C298" s="58" t="s">
        <v>842</v>
      </c>
    </row>
    <row r="299" spans="1:3">
      <c r="A299" s="58" t="s">
        <v>843</v>
      </c>
      <c r="B299" s="58" t="s">
        <v>844</v>
      </c>
      <c r="C299" s="58" t="s">
        <v>845</v>
      </c>
    </row>
    <row r="300" spans="1:3">
      <c r="A300" s="58" t="s">
        <v>846</v>
      </c>
      <c r="B300" s="58" t="s">
        <v>847</v>
      </c>
      <c r="C300" s="58" t="s">
        <v>848</v>
      </c>
    </row>
    <row r="301" spans="1:3">
      <c r="A301" s="58" t="s">
        <v>849</v>
      </c>
      <c r="B301" s="58" t="s">
        <v>850</v>
      </c>
      <c r="C301" s="58" t="s">
        <v>851</v>
      </c>
    </row>
    <row r="302" spans="1:3">
      <c r="A302" s="58" t="s">
        <v>852</v>
      </c>
      <c r="B302" s="58" t="s">
        <v>853</v>
      </c>
      <c r="C302" s="58" t="s">
        <v>854</v>
      </c>
    </row>
    <row r="303" spans="1:3">
      <c r="A303" s="58" t="s">
        <v>855</v>
      </c>
      <c r="B303" s="58" t="s">
        <v>856</v>
      </c>
      <c r="C303" s="58" t="s">
        <v>857</v>
      </c>
    </row>
    <row r="304" spans="1:3">
      <c r="A304" s="58" t="s">
        <v>858</v>
      </c>
      <c r="B304" s="58" t="s">
        <v>859</v>
      </c>
      <c r="C304" s="58" t="s">
        <v>860</v>
      </c>
    </row>
    <row r="305" spans="1:3">
      <c r="A305" s="58" t="s">
        <v>861</v>
      </c>
      <c r="B305" s="58" t="s">
        <v>859</v>
      </c>
      <c r="C305" s="58" t="s">
        <v>860</v>
      </c>
    </row>
    <row r="306" spans="1:3">
      <c r="A306" s="58" t="s">
        <v>862</v>
      </c>
      <c r="B306" s="58" t="s">
        <v>863</v>
      </c>
      <c r="C306" s="58" t="s">
        <v>864</v>
      </c>
    </row>
    <row r="307" spans="1:3">
      <c r="A307" s="58" t="s">
        <v>865</v>
      </c>
      <c r="B307" s="58" t="s">
        <v>866</v>
      </c>
      <c r="C307" s="58" t="s">
        <v>867</v>
      </c>
    </row>
    <row r="308" spans="1:3">
      <c r="A308" s="58" t="s">
        <v>868</v>
      </c>
      <c r="B308" s="58" t="s">
        <v>869</v>
      </c>
      <c r="C308" s="58" t="s">
        <v>870</v>
      </c>
    </row>
    <row r="309" spans="1:3">
      <c r="A309" s="58" t="s">
        <v>871</v>
      </c>
      <c r="B309" s="58" t="s">
        <v>872</v>
      </c>
      <c r="C309" s="58" t="s">
        <v>873</v>
      </c>
    </row>
    <row r="310" spans="1:3">
      <c r="A310" s="58" t="s">
        <v>874</v>
      </c>
      <c r="B310" s="58" t="s">
        <v>875</v>
      </c>
      <c r="C310" s="58" t="s">
        <v>876</v>
      </c>
    </row>
    <row r="311" spans="1:3">
      <c r="A311" s="58" t="s">
        <v>877</v>
      </c>
      <c r="B311" s="58" t="s">
        <v>875</v>
      </c>
      <c r="C311" s="58" t="s">
        <v>876</v>
      </c>
    </row>
    <row r="312" spans="1:3">
      <c r="A312" s="58" t="s">
        <v>878</v>
      </c>
      <c r="B312" s="58" t="s">
        <v>879</v>
      </c>
      <c r="C312" s="58" t="s">
        <v>880</v>
      </c>
    </row>
    <row r="313" spans="1:3">
      <c r="A313" s="58" t="s">
        <v>881</v>
      </c>
      <c r="B313" s="58" t="s">
        <v>882</v>
      </c>
      <c r="C313" s="58" t="s">
        <v>883</v>
      </c>
    </row>
    <row r="314" spans="1:3">
      <c r="A314" s="58" t="s">
        <v>884</v>
      </c>
      <c r="B314" s="58" t="s">
        <v>885</v>
      </c>
      <c r="C314" s="58" t="s">
        <v>886</v>
      </c>
    </row>
    <row r="315" spans="1:3">
      <c r="A315" s="58" t="s">
        <v>887</v>
      </c>
      <c r="B315" s="58" t="s">
        <v>888</v>
      </c>
      <c r="C315" s="58" t="s">
        <v>889</v>
      </c>
    </row>
    <row r="316" spans="1:3">
      <c r="A316" s="58" t="s">
        <v>890</v>
      </c>
      <c r="B316" s="58" t="s">
        <v>891</v>
      </c>
      <c r="C316" s="58" t="s">
        <v>892</v>
      </c>
    </row>
    <row r="317" spans="1:3">
      <c r="A317" s="58" t="s">
        <v>893</v>
      </c>
      <c r="B317" s="58" t="s">
        <v>894</v>
      </c>
      <c r="C317" s="58" t="s">
        <v>895</v>
      </c>
    </row>
    <row r="318" spans="1:3">
      <c r="A318" s="58" t="s">
        <v>896</v>
      </c>
      <c r="B318" s="58" t="s">
        <v>897</v>
      </c>
      <c r="C318" s="58" t="s">
        <v>898</v>
      </c>
    </row>
    <row r="319" spans="1:3">
      <c r="A319" s="58" t="s">
        <v>899</v>
      </c>
      <c r="B319" s="58" t="s">
        <v>900</v>
      </c>
      <c r="C319" s="58" t="s">
        <v>901</v>
      </c>
    </row>
    <row r="320" spans="1:3">
      <c r="A320" s="58" t="s">
        <v>902</v>
      </c>
      <c r="B320" s="58" t="s">
        <v>900</v>
      </c>
      <c r="C320" s="58" t="s">
        <v>901</v>
      </c>
    </row>
    <row r="321" spans="1:3">
      <c r="A321" s="58" t="s">
        <v>903</v>
      </c>
      <c r="B321" s="58" t="s">
        <v>904</v>
      </c>
      <c r="C321" s="58" t="s">
        <v>898</v>
      </c>
    </row>
    <row r="322" spans="1:3">
      <c r="A322" s="58" t="s">
        <v>905</v>
      </c>
      <c r="B322" s="58" t="s">
        <v>906</v>
      </c>
      <c r="C322" s="58" t="s">
        <v>907</v>
      </c>
    </row>
    <row r="323" spans="1:3">
      <c r="A323" s="58" t="s">
        <v>908</v>
      </c>
      <c r="B323" s="58" t="s">
        <v>909</v>
      </c>
      <c r="C323" s="58" t="s">
        <v>910</v>
      </c>
    </row>
    <row r="324" spans="1:3">
      <c r="A324" s="58" t="s">
        <v>911</v>
      </c>
      <c r="B324" s="58" t="s">
        <v>912</v>
      </c>
      <c r="C324" s="58" t="s">
        <v>913</v>
      </c>
    </row>
    <row r="325" spans="1:3">
      <c r="A325" s="58" t="s">
        <v>914</v>
      </c>
      <c r="B325" s="58" t="s">
        <v>915</v>
      </c>
      <c r="C325" s="58" t="s">
        <v>916</v>
      </c>
    </row>
    <row r="326" spans="1:3">
      <c r="A326" s="58" t="s">
        <v>917</v>
      </c>
      <c r="B326" s="58" t="s">
        <v>918</v>
      </c>
      <c r="C326" s="58" t="s">
        <v>919</v>
      </c>
    </row>
    <row r="327" spans="1:3">
      <c r="A327" s="58" t="s">
        <v>920</v>
      </c>
      <c r="B327" s="58" t="s">
        <v>918</v>
      </c>
      <c r="C327" s="58" t="s">
        <v>921</v>
      </c>
    </row>
    <row r="328" spans="1:3">
      <c r="A328" s="58" t="s">
        <v>922</v>
      </c>
      <c r="B328" s="58" t="s">
        <v>923</v>
      </c>
      <c r="C328" s="58" t="s">
        <v>924</v>
      </c>
    </row>
    <row r="329" spans="1:3">
      <c r="A329" s="58" t="s">
        <v>925</v>
      </c>
      <c r="B329" s="58" t="s">
        <v>926</v>
      </c>
      <c r="C329" s="58" t="s">
        <v>927</v>
      </c>
    </row>
    <row r="330" spans="1:3">
      <c r="A330" s="58" t="s">
        <v>928</v>
      </c>
      <c r="B330" s="58" t="s">
        <v>929</v>
      </c>
      <c r="C330" s="58" t="s">
        <v>930</v>
      </c>
    </row>
    <row r="331" spans="1:3">
      <c r="A331" s="58" t="s">
        <v>931</v>
      </c>
      <c r="B331" s="58" t="s">
        <v>932</v>
      </c>
      <c r="C331" s="58" t="s">
        <v>933</v>
      </c>
    </row>
    <row r="332" spans="1:3">
      <c r="A332" s="58" t="s">
        <v>934</v>
      </c>
      <c r="B332" s="58" t="s">
        <v>935</v>
      </c>
      <c r="C332" s="58" t="s">
        <v>936</v>
      </c>
    </row>
    <row r="333" spans="1:3">
      <c r="A333" s="58" t="s">
        <v>937</v>
      </c>
      <c r="B333" s="58" t="s">
        <v>938</v>
      </c>
      <c r="C333" s="58" t="s">
        <v>939</v>
      </c>
    </row>
    <row r="334" spans="1:3">
      <c r="A334" s="58" t="s">
        <v>940</v>
      </c>
      <c r="B334" s="58" t="s">
        <v>941</v>
      </c>
      <c r="C334" s="58" t="s">
        <v>942</v>
      </c>
    </row>
    <row r="335" spans="1:3">
      <c r="A335" s="58" t="s">
        <v>943</v>
      </c>
      <c r="B335" s="58" t="s">
        <v>944</v>
      </c>
      <c r="C335" s="58" t="s">
        <v>945</v>
      </c>
    </row>
    <row r="336" spans="1:3">
      <c r="A336" s="58" t="s">
        <v>946</v>
      </c>
      <c r="B336" s="58" t="s">
        <v>947</v>
      </c>
      <c r="C336" s="58" t="s">
        <v>948</v>
      </c>
    </row>
    <row r="337" spans="1:3">
      <c r="A337" s="58" t="s">
        <v>949</v>
      </c>
      <c r="B337" s="58" t="s">
        <v>950</v>
      </c>
      <c r="C337" s="58" t="s">
        <v>951</v>
      </c>
    </row>
    <row r="338" spans="1:3">
      <c r="A338" s="58" t="s">
        <v>952</v>
      </c>
      <c r="B338" s="58" t="s">
        <v>953</v>
      </c>
      <c r="C338" s="58" t="s">
        <v>954</v>
      </c>
    </row>
    <row r="339" spans="1:3">
      <c r="A339" s="58" t="s">
        <v>955</v>
      </c>
      <c r="B339" s="58" t="s">
        <v>956</v>
      </c>
      <c r="C339" s="58" t="s">
        <v>957</v>
      </c>
    </row>
    <row r="340" spans="1:3">
      <c r="A340" s="58" t="s">
        <v>958</v>
      </c>
      <c r="B340" s="58" t="s">
        <v>959</v>
      </c>
      <c r="C340" s="58" t="s">
        <v>960</v>
      </c>
    </row>
    <row r="341" spans="1:3">
      <c r="A341" s="58" t="s">
        <v>961</v>
      </c>
      <c r="B341" s="58" t="s">
        <v>962</v>
      </c>
      <c r="C341" s="58" t="s">
        <v>963</v>
      </c>
    </row>
    <row r="342" spans="1:3">
      <c r="A342" s="58" t="s">
        <v>964</v>
      </c>
      <c r="B342" s="58" t="s">
        <v>965</v>
      </c>
      <c r="C342" s="58" t="s">
        <v>966</v>
      </c>
    </row>
    <row r="343" spans="1:3">
      <c r="A343" s="58" t="s">
        <v>967</v>
      </c>
      <c r="B343" s="58" t="s">
        <v>965</v>
      </c>
      <c r="C343" s="58" t="s">
        <v>966</v>
      </c>
    </row>
    <row r="344" spans="1:3">
      <c r="A344" s="58" t="s">
        <v>968</v>
      </c>
      <c r="B344" s="58" t="s">
        <v>965</v>
      </c>
      <c r="C344" s="58" t="s">
        <v>966</v>
      </c>
    </row>
    <row r="345" spans="1:3">
      <c r="A345" s="58" t="s">
        <v>969</v>
      </c>
      <c r="B345" s="58" t="s">
        <v>970</v>
      </c>
      <c r="C345" s="58" t="s">
        <v>971</v>
      </c>
    </row>
    <row r="346" spans="1:3">
      <c r="A346" s="58" t="s">
        <v>972</v>
      </c>
      <c r="B346" s="58" t="s">
        <v>973</v>
      </c>
      <c r="C346" s="58" t="s">
        <v>974</v>
      </c>
    </row>
    <row r="347" spans="1:3">
      <c r="A347" s="58" t="s">
        <v>975</v>
      </c>
      <c r="B347" s="58" t="s">
        <v>973</v>
      </c>
      <c r="C347" s="58" t="s">
        <v>974</v>
      </c>
    </row>
    <row r="348" spans="1:3">
      <c r="A348" s="58" t="s">
        <v>976</v>
      </c>
      <c r="B348" s="58" t="s">
        <v>977</v>
      </c>
      <c r="C348" s="58" t="s">
        <v>978</v>
      </c>
    </row>
    <row r="349" spans="1:3">
      <c r="A349" s="58" t="s">
        <v>979</v>
      </c>
      <c r="B349" s="58" t="s">
        <v>980</v>
      </c>
      <c r="C349" s="58" t="s">
        <v>981</v>
      </c>
    </row>
    <row r="350" spans="1:3">
      <c r="A350" s="58" t="s">
        <v>982</v>
      </c>
      <c r="B350" s="58" t="s">
        <v>983</v>
      </c>
      <c r="C350" s="58" t="s">
        <v>984</v>
      </c>
    </row>
    <row r="351" spans="1:3">
      <c r="A351" s="58" t="s">
        <v>985</v>
      </c>
      <c r="B351" s="58" t="s">
        <v>986</v>
      </c>
      <c r="C351" s="58" t="s">
        <v>987</v>
      </c>
    </row>
    <row r="352" spans="1:3">
      <c r="A352" s="58" t="s">
        <v>988</v>
      </c>
      <c r="B352" s="58" t="s">
        <v>986</v>
      </c>
      <c r="C352" s="58" t="s">
        <v>987</v>
      </c>
    </row>
    <row r="353" spans="1:3">
      <c r="A353" s="58" t="s">
        <v>989</v>
      </c>
      <c r="B353" s="58" t="s">
        <v>990</v>
      </c>
      <c r="C353" s="58" t="s">
        <v>991</v>
      </c>
    </row>
    <row r="354" spans="1:3">
      <c r="A354" s="58" t="s">
        <v>992</v>
      </c>
      <c r="B354" s="58" t="s">
        <v>993</v>
      </c>
      <c r="C354" s="58" t="s">
        <v>994</v>
      </c>
    </row>
    <row r="355" spans="1:3">
      <c r="A355" s="58" t="s">
        <v>995</v>
      </c>
      <c r="B355" s="58" t="s">
        <v>996</v>
      </c>
      <c r="C355" s="58" t="s">
        <v>997</v>
      </c>
    </row>
    <row r="356" spans="1:3">
      <c r="A356" s="58" t="s">
        <v>998</v>
      </c>
      <c r="B356" s="58" t="s">
        <v>999</v>
      </c>
      <c r="C356" s="58" t="s">
        <v>1000</v>
      </c>
    </row>
    <row r="357" spans="1:3">
      <c r="A357" s="58" t="s">
        <v>1001</v>
      </c>
      <c r="B357" s="58" t="s">
        <v>1002</v>
      </c>
      <c r="C357" s="58" t="s">
        <v>1003</v>
      </c>
    </row>
    <row r="358" spans="1:3">
      <c r="A358" s="58" t="s">
        <v>1004</v>
      </c>
      <c r="B358" s="58" t="s">
        <v>1005</v>
      </c>
      <c r="C358" s="58" t="s">
        <v>1006</v>
      </c>
    </row>
    <row r="359" spans="1:3">
      <c r="A359" s="58" t="s">
        <v>1007</v>
      </c>
      <c r="B359" s="58" t="s">
        <v>1008</v>
      </c>
      <c r="C359" s="58" t="s">
        <v>1009</v>
      </c>
    </row>
    <row r="360" spans="1:3">
      <c r="A360" s="58" t="s">
        <v>1010</v>
      </c>
      <c r="B360" s="58" t="s">
        <v>1011</v>
      </c>
      <c r="C360" s="58" t="s">
        <v>1012</v>
      </c>
    </row>
    <row r="361" spans="1:3">
      <c r="A361" s="58" t="s">
        <v>1013</v>
      </c>
      <c r="B361" s="58" t="s">
        <v>1014</v>
      </c>
      <c r="C361" s="58" t="s">
        <v>1015</v>
      </c>
    </row>
    <row r="362" spans="1:3">
      <c r="A362" s="58" t="s">
        <v>1016</v>
      </c>
      <c r="B362" s="58" t="s">
        <v>1017</v>
      </c>
      <c r="C362" s="58" t="s">
        <v>1018</v>
      </c>
    </row>
    <row r="363" spans="1:3">
      <c r="A363" s="58" t="s">
        <v>1019</v>
      </c>
      <c r="B363" s="58" t="s">
        <v>1020</v>
      </c>
      <c r="C363" s="58" t="s">
        <v>1021</v>
      </c>
    </row>
    <row r="364" spans="1:3">
      <c r="A364" s="58" t="s">
        <v>1022</v>
      </c>
      <c r="B364" s="58" t="s">
        <v>1023</v>
      </c>
      <c r="C364" s="58" t="s">
        <v>1024</v>
      </c>
    </row>
    <row r="365" spans="1:3">
      <c r="A365" s="58" t="s">
        <v>1025</v>
      </c>
      <c r="B365" s="58" t="s">
        <v>1026</v>
      </c>
      <c r="C365" s="58" t="s">
        <v>1027</v>
      </c>
    </row>
    <row r="366" spans="1:3">
      <c r="A366" s="58" t="s">
        <v>1028</v>
      </c>
      <c r="B366" s="58" t="s">
        <v>1029</v>
      </c>
      <c r="C366" s="58" t="s">
        <v>1030</v>
      </c>
    </row>
    <row r="367" spans="1:3">
      <c r="A367" s="58" t="s">
        <v>1031</v>
      </c>
      <c r="B367" s="58" t="s">
        <v>1032</v>
      </c>
      <c r="C367" s="58" t="s">
        <v>1033</v>
      </c>
    </row>
    <row r="368" spans="1:3">
      <c r="A368" s="58" t="s">
        <v>1034</v>
      </c>
      <c r="B368" s="58" t="s">
        <v>1035</v>
      </c>
      <c r="C368" s="58" t="s">
        <v>1036</v>
      </c>
    </row>
    <row r="369" spans="1:3">
      <c r="A369" s="58" t="s">
        <v>1037</v>
      </c>
      <c r="B369" s="58" t="s">
        <v>1035</v>
      </c>
      <c r="C369" s="58" t="s">
        <v>1036</v>
      </c>
    </row>
    <row r="370" spans="1:3">
      <c r="A370" s="58" t="s">
        <v>1038</v>
      </c>
      <c r="B370" s="58" t="s">
        <v>1039</v>
      </c>
      <c r="C370" s="58" t="s">
        <v>1040</v>
      </c>
    </row>
    <row r="371" spans="1:3">
      <c r="A371" s="58" t="s">
        <v>1041</v>
      </c>
      <c r="B371" s="58" t="s">
        <v>1042</v>
      </c>
      <c r="C371" s="58" t="s">
        <v>1043</v>
      </c>
    </row>
    <row r="372" spans="1:3">
      <c r="A372" s="58" t="s">
        <v>1044</v>
      </c>
      <c r="B372" s="58" t="s">
        <v>1045</v>
      </c>
      <c r="C372" s="58" t="s">
        <v>1046</v>
      </c>
    </row>
    <row r="373" spans="1:3">
      <c r="A373" s="58" t="s">
        <v>1047</v>
      </c>
      <c r="B373" s="58" t="s">
        <v>1048</v>
      </c>
      <c r="C373" s="58" t="s">
        <v>1049</v>
      </c>
    </row>
    <row r="374" spans="1:3">
      <c r="A374" s="58" t="s">
        <v>1050</v>
      </c>
      <c r="B374" s="58" t="s">
        <v>1048</v>
      </c>
      <c r="C374" s="58" t="s">
        <v>1049</v>
      </c>
    </row>
    <row r="375" spans="1:3">
      <c r="A375" s="58" t="s">
        <v>1051</v>
      </c>
      <c r="B375" s="58" t="s">
        <v>1052</v>
      </c>
      <c r="C375" s="58" t="s">
        <v>1053</v>
      </c>
    </row>
    <row r="376" spans="1:3">
      <c r="A376" s="58" t="s">
        <v>1054</v>
      </c>
      <c r="B376" s="58" t="s">
        <v>1055</v>
      </c>
      <c r="C376" s="58" t="s">
        <v>1056</v>
      </c>
    </row>
    <row r="377" spans="1:3">
      <c r="A377" s="58" t="s">
        <v>1057</v>
      </c>
      <c r="B377" s="58" t="s">
        <v>1058</v>
      </c>
      <c r="C377" s="58" t="s">
        <v>1059</v>
      </c>
    </row>
    <row r="378" spans="1:3">
      <c r="A378" s="58" t="s">
        <v>1060</v>
      </c>
      <c r="B378" s="58" t="s">
        <v>1061</v>
      </c>
      <c r="C378" s="58" t="s">
        <v>1062</v>
      </c>
    </row>
    <row r="379" spans="1:3">
      <c r="A379" s="58" t="s">
        <v>1063</v>
      </c>
      <c r="B379" s="58" t="s">
        <v>1064</v>
      </c>
      <c r="C379" s="58" t="s">
        <v>1065</v>
      </c>
    </row>
    <row r="380" spans="1:3">
      <c r="A380" s="58" t="s">
        <v>1066</v>
      </c>
      <c r="B380" s="58" t="s">
        <v>1067</v>
      </c>
      <c r="C380" s="58" t="s">
        <v>1068</v>
      </c>
    </row>
    <row r="381" spans="1:3">
      <c r="A381" s="58" t="s">
        <v>1069</v>
      </c>
      <c r="B381" s="58" t="s">
        <v>1070</v>
      </c>
      <c r="C381" s="58" t="s">
        <v>1071</v>
      </c>
    </row>
    <row r="382" spans="1:3">
      <c r="A382" s="58" t="s">
        <v>1072</v>
      </c>
      <c r="B382" s="58" t="s">
        <v>1073</v>
      </c>
      <c r="C382" s="58" t="s">
        <v>1074</v>
      </c>
    </row>
    <row r="383" spans="1:3">
      <c r="A383" s="58" t="s">
        <v>1075</v>
      </c>
      <c r="B383" s="58" t="s">
        <v>1076</v>
      </c>
      <c r="C383" s="58" t="s">
        <v>1077</v>
      </c>
    </row>
    <row r="384" spans="1:3">
      <c r="A384" s="58" t="s">
        <v>1078</v>
      </c>
      <c r="B384" s="58" t="s">
        <v>1079</v>
      </c>
      <c r="C384" s="58" t="s">
        <v>1080</v>
      </c>
    </row>
    <row r="385" spans="1:3">
      <c r="A385" s="58" t="s">
        <v>1081</v>
      </c>
      <c r="B385" s="58" t="s">
        <v>1082</v>
      </c>
      <c r="C385" s="58" t="s">
        <v>1083</v>
      </c>
    </row>
    <row r="386" spans="1:3">
      <c r="A386" s="58" t="s">
        <v>1084</v>
      </c>
      <c r="B386" s="58" t="s">
        <v>1085</v>
      </c>
      <c r="C386" s="58" t="s">
        <v>1086</v>
      </c>
    </row>
    <row r="387" spans="1:3">
      <c r="A387" s="58" t="s">
        <v>1087</v>
      </c>
      <c r="B387" s="58" t="s">
        <v>1088</v>
      </c>
      <c r="C387" s="58" t="s">
        <v>1089</v>
      </c>
    </row>
    <row r="388" spans="1:3">
      <c r="A388" s="58" t="s">
        <v>1090</v>
      </c>
      <c r="B388" s="58" t="s">
        <v>1091</v>
      </c>
      <c r="C388" s="58" t="s">
        <v>1092</v>
      </c>
    </row>
    <row r="389" spans="1:3">
      <c r="A389" s="58" t="s">
        <v>1093</v>
      </c>
      <c r="B389" s="58" t="s">
        <v>1094</v>
      </c>
      <c r="C389" s="58" t="s">
        <v>1095</v>
      </c>
    </row>
    <row r="390" spans="1:3">
      <c r="A390" s="58" t="s">
        <v>1096</v>
      </c>
      <c r="B390" s="58" t="s">
        <v>1097</v>
      </c>
      <c r="C390" s="58" t="s">
        <v>1098</v>
      </c>
    </row>
    <row r="391" spans="1:3">
      <c r="A391" s="58" t="s">
        <v>1099</v>
      </c>
      <c r="B391" s="58" t="s">
        <v>1100</v>
      </c>
      <c r="C391" s="58" t="s">
        <v>1101</v>
      </c>
    </row>
    <row r="392" spans="1:3">
      <c r="A392" s="58" t="s">
        <v>1102</v>
      </c>
      <c r="B392" s="58" t="s">
        <v>1103</v>
      </c>
      <c r="C392" s="58" t="s">
        <v>1104</v>
      </c>
    </row>
    <row r="393" spans="1:3">
      <c r="A393" s="58" t="s">
        <v>1105</v>
      </c>
      <c r="B393" s="58" t="s">
        <v>1106</v>
      </c>
      <c r="C393" s="58" t="s">
        <v>1107</v>
      </c>
    </row>
    <row r="394" spans="1:3">
      <c r="A394" s="58" t="s">
        <v>1108</v>
      </c>
      <c r="B394" s="58" t="s">
        <v>1109</v>
      </c>
      <c r="C394" s="58" t="s">
        <v>1110</v>
      </c>
    </row>
    <row r="395" spans="1:3">
      <c r="A395" s="58" t="s">
        <v>1111</v>
      </c>
      <c r="B395" s="58" t="s">
        <v>1112</v>
      </c>
      <c r="C395" s="58" t="s">
        <v>1113</v>
      </c>
    </row>
    <row r="396" spans="1:3">
      <c r="A396" s="58" t="s">
        <v>1114</v>
      </c>
      <c r="B396" s="58" t="s">
        <v>1115</v>
      </c>
      <c r="C396" s="58" t="s">
        <v>1116</v>
      </c>
    </row>
    <row r="397" spans="1:3">
      <c r="A397" s="58" t="s">
        <v>1117</v>
      </c>
      <c r="B397" s="58" t="s">
        <v>1118</v>
      </c>
      <c r="C397" s="58" t="s">
        <v>1119</v>
      </c>
    </row>
    <row r="398" spans="1:3">
      <c r="A398" s="58" t="s">
        <v>1120</v>
      </c>
      <c r="B398" s="58" t="s">
        <v>1121</v>
      </c>
      <c r="C398" s="58" t="s">
        <v>1122</v>
      </c>
    </row>
    <row r="399" spans="1:3">
      <c r="A399" s="58" t="s">
        <v>1123</v>
      </c>
      <c r="B399" s="58" t="s">
        <v>1121</v>
      </c>
      <c r="C399" s="58" t="s">
        <v>1122</v>
      </c>
    </row>
    <row r="400" spans="1:3">
      <c r="A400" s="58" t="s">
        <v>1124</v>
      </c>
      <c r="B400" s="58" t="s">
        <v>1125</v>
      </c>
      <c r="C400" s="58" t="s">
        <v>1126</v>
      </c>
    </row>
    <row r="401" spans="1:3">
      <c r="A401" s="58" t="s">
        <v>1127</v>
      </c>
      <c r="B401" s="58" t="s">
        <v>1128</v>
      </c>
      <c r="C401" s="58" t="s">
        <v>1129</v>
      </c>
    </row>
    <row r="402" spans="1:3">
      <c r="A402" s="58" t="s">
        <v>1130</v>
      </c>
      <c r="B402" s="58" t="s">
        <v>1131</v>
      </c>
      <c r="C402" s="58" t="s">
        <v>1132</v>
      </c>
    </row>
    <row r="403" spans="1:3">
      <c r="A403" s="58" t="s">
        <v>1133</v>
      </c>
      <c r="B403" s="58" t="s">
        <v>1134</v>
      </c>
      <c r="C403" s="58" t="s">
        <v>1135</v>
      </c>
    </row>
    <row r="404" spans="1:3">
      <c r="A404" s="58" t="s">
        <v>1136</v>
      </c>
      <c r="B404" s="58" t="s">
        <v>1134</v>
      </c>
      <c r="C404" s="58" t="s">
        <v>1135</v>
      </c>
    </row>
    <row r="405" spans="1:3">
      <c r="A405" s="58" t="s">
        <v>1137</v>
      </c>
      <c r="B405" s="58" t="s">
        <v>1138</v>
      </c>
      <c r="C405" s="58" t="s">
        <v>1139</v>
      </c>
    </row>
    <row r="406" spans="1:3">
      <c r="A406" s="58" t="s">
        <v>1140</v>
      </c>
      <c r="B406" s="58" t="s">
        <v>1141</v>
      </c>
      <c r="C406" s="58" t="s">
        <v>1142</v>
      </c>
    </row>
    <row r="407" spans="1:3">
      <c r="A407" s="58" t="s">
        <v>1143</v>
      </c>
      <c r="B407" s="58" t="s">
        <v>1144</v>
      </c>
      <c r="C407" s="58" t="s">
        <v>1145</v>
      </c>
    </row>
    <row r="408" spans="1:3">
      <c r="A408" s="58" t="s">
        <v>1146</v>
      </c>
      <c r="B408" s="58" t="s">
        <v>1147</v>
      </c>
      <c r="C408" s="58" t="s">
        <v>1148</v>
      </c>
    </row>
    <row r="409" spans="1:3">
      <c r="A409" s="58" t="s">
        <v>1149</v>
      </c>
      <c r="B409" s="58" t="s">
        <v>1147</v>
      </c>
      <c r="C409" s="58" t="s">
        <v>1148</v>
      </c>
    </row>
    <row r="410" spans="1:3">
      <c r="A410" s="58" t="s">
        <v>1150</v>
      </c>
      <c r="B410" s="58" t="s">
        <v>1151</v>
      </c>
      <c r="C410" s="58" t="s">
        <v>1152</v>
      </c>
    </row>
    <row r="411" spans="1:3">
      <c r="A411" s="58" t="s">
        <v>1153</v>
      </c>
      <c r="B411" s="58" t="s">
        <v>1151</v>
      </c>
      <c r="C411" s="58" t="s">
        <v>1152</v>
      </c>
    </row>
    <row r="412" spans="1:3">
      <c r="A412" s="58" t="s">
        <v>1154</v>
      </c>
      <c r="B412" s="58" t="s">
        <v>1155</v>
      </c>
      <c r="C412" s="58" t="s">
        <v>1156</v>
      </c>
    </row>
    <row r="413" spans="1:3">
      <c r="A413" s="58" t="s">
        <v>1157</v>
      </c>
      <c r="B413" s="58" t="s">
        <v>1155</v>
      </c>
      <c r="C413" s="58" t="s">
        <v>1156</v>
      </c>
    </row>
    <row r="414" spans="1:3">
      <c r="A414" s="58" t="s">
        <v>1158</v>
      </c>
      <c r="B414" s="58" t="s">
        <v>1159</v>
      </c>
      <c r="C414" s="58" t="s">
        <v>1160</v>
      </c>
    </row>
    <row r="415" spans="1:3">
      <c r="A415" s="58" t="s">
        <v>1161</v>
      </c>
      <c r="B415" s="58" t="s">
        <v>1159</v>
      </c>
      <c r="C415" s="58" t="s">
        <v>1160</v>
      </c>
    </row>
    <row r="416" spans="1:3">
      <c r="A416" s="58" t="s">
        <v>1162</v>
      </c>
      <c r="B416" s="58" t="s">
        <v>1159</v>
      </c>
      <c r="C416" s="58" t="s">
        <v>1160</v>
      </c>
    </row>
    <row r="417" spans="1:3">
      <c r="A417" s="58" t="s">
        <v>1163</v>
      </c>
      <c r="B417" s="58" t="s">
        <v>1164</v>
      </c>
      <c r="C417" s="58" t="s">
        <v>1165</v>
      </c>
    </row>
    <row r="418" spans="1:3">
      <c r="A418" s="58" t="s">
        <v>1166</v>
      </c>
      <c r="B418" s="58" t="s">
        <v>1167</v>
      </c>
      <c r="C418" s="58" t="s">
        <v>1168</v>
      </c>
    </row>
    <row r="419" spans="1:3">
      <c r="A419" s="58" t="s">
        <v>1169</v>
      </c>
      <c r="B419" s="58" t="s">
        <v>1170</v>
      </c>
      <c r="C419" s="58" t="s">
        <v>1171</v>
      </c>
    </row>
    <row r="420" spans="1:3">
      <c r="A420" s="58" t="s">
        <v>1172</v>
      </c>
      <c r="B420" s="58" t="s">
        <v>1173</v>
      </c>
      <c r="C420" s="58" t="s">
        <v>1174</v>
      </c>
    </row>
    <row r="421" spans="1:3">
      <c r="A421" s="58" t="s">
        <v>1175</v>
      </c>
      <c r="B421" s="58" t="s">
        <v>1176</v>
      </c>
      <c r="C421" s="58" t="s">
        <v>1177</v>
      </c>
    </row>
    <row r="422" spans="1:3">
      <c r="A422" s="58" t="s">
        <v>1178</v>
      </c>
      <c r="B422" s="58" t="s">
        <v>1179</v>
      </c>
      <c r="C422" s="58" t="s">
        <v>1180</v>
      </c>
    </row>
    <row r="423" spans="1:3">
      <c r="A423" s="58" t="s">
        <v>1181</v>
      </c>
      <c r="B423" s="58" t="s">
        <v>1182</v>
      </c>
      <c r="C423" s="58" t="s">
        <v>1183</v>
      </c>
    </row>
    <row r="424" spans="1:3">
      <c r="A424" s="58" t="s">
        <v>1184</v>
      </c>
      <c r="B424" s="58" t="s">
        <v>1185</v>
      </c>
      <c r="C424" s="58" t="s">
        <v>1186</v>
      </c>
    </row>
    <row r="425" spans="1:3">
      <c r="A425" s="58" t="s">
        <v>1187</v>
      </c>
      <c r="B425" s="58" t="s">
        <v>1188</v>
      </c>
      <c r="C425" s="58" t="s">
        <v>1189</v>
      </c>
    </row>
    <row r="426" spans="1:3">
      <c r="A426" s="58" t="s">
        <v>1190</v>
      </c>
      <c r="B426" s="58" t="s">
        <v>1191</v>
      </c>
      <c r="C426" s="58" t="s">
        <v>1192</v>
      </c>
    </row>
    <row r="427" spans="1:3">
      <c r="A427" s="58" t="s">
        <v>1193</v>
      </c>
      <c r="B427" s="58" t="s">
        <v>1194</v>
      </c>
      <c r="C427" s="58" t="s">
        <v>1195</v>
      </c>
    </row>
    <row r="428" spans="1:3">
      <c r="A428" s="58" t="s">
        <v>1196</v>
      </c>
      <c r="B428" s="58" t="s">
        <v>1197</v>
      </c>
      <c r="C428" s="58" t="s">
        <v>1198</v>
      </c>
    </row>
    <row r="429" spans="1:3">
      <c r="A429" s="58" t="s">
        <v>1199</v>
      </c>
      <c r="B429" s="58" t="s">
        <v>1200</v>
      </c>
      <c r="C429" s="58" t="s">
        <v>1201</v>
      </c>
    </row>
    <row r="430" spans="1:3">
      <c r="A430" s="58" t="s">
        <v>1202</v>
      </c>
      <c r="B430" s="58" t="s">
        <v>1203</v>
      </c>
      <c r="C430" s="58" t="s">
        <v>1204</v>
      </c>
    </row>
    <row r="431" spans="1:3">
      <c r="A431" s="58" t="s">
        <v>1205</v>
      </c>
      <c r="B431" s="58" t="s">
        <v>1206</v>
      </c>
      <c r="C431" s="58" t="s">
        <v>1207</v>
      </c>
    </row>
    <row r="432" spans="1:3">
      <c r="A432" s="58" t="s">
        <v>1208</v>
      </c>
      <c r="B432" s="58" t="s">
        <v>1209</v>
      </c>
      <c r="C432" s="58" t="s">
        <v>1210</v>
      </c>
    </row>
    <row r="433" spans="1:3">
      <c r="A433" s="58" t="s">
        <v>1211</v>
      </c>
      <c r="B433" s="58" t="s">
        <v>1212</v>
      </c>
      <c r="C433" s="58" t="s">
        <v>1213</v>
      </c>
    </row>
    <row r="434" spans="1:3">
      <c r="A434" s="58" t="s">
        <v>1214</v>
      </c>
      <c r="B434" s="58" t="s">
        <v>1215</v>
      </c>
      <c r="C434" s="58" t="s">
        <v>1216</v>
      </c>
    </row>
    <row r="435" spans="1:3">
      <c r="A435" s="58" t="s">
        <v>1217</v>
      </c>
      <c r="B435" s="58" t="s">
        <v>1218</v>
      </c>
      <c r="C435" s="58" t="s">
        <v>1219</v>
      </c>
    </row>
    <row r="436" spans="1:3">
      <c r="A436" s="58" t="s">
        <v>1220</v>
      </c>
      <c r="B436" s="58" t="s">
        <v>1221</v>
      </c>
      <c r="C436" s="58" t="s">
        <v>1222</v>
      </c>
    </row>
    <row r="437" spans="1:3">
      <c r="A437" s="58" t="s">
        <v>1223</v>
      </c>
      <c r="B437" s="58" t="s">
        <v>1224</v>
      </c>
      <c r="C437" s="58" t="s">
        <v>1225</v>
      </c>
    </row>
    <row r="438" spans="1:3">
      <c r="A438" s="58" t="s">
        <v>1226</v>
      </c>
      <c r="B438" s="58" t="s">
        <v>1227</v>
      </c>
      <c r="C438" s="58" t="s">
        <v>1228</v>
      </c>
    </row>
    <row r="439" spans="1:3">
      <c r="A439" s="58" t="s">
        <v>1229</v>
      </c>
      <c r="B439" s="58" t="s">
        <v>1230</v>
      </c>
      <c r="C439" s="58" t="s">
        <v>1231</v>
      </c>
    </row>
    <row r="440" spans="1:3">
      <c r="A440" s="58" t="s">
        <v>1232</v>
      </c>
      <c r="B440" s="58" t="s">
        <v>1230</v>
      </c>
      <c r="C440" s="58" t="s">
        <v>1231</v>
      </c>
    </row>
    <row r="441" spans="1:3">
      <c r="A441" s="58" t="s">
        <v>1233</v>
      </c>
      <c r="B441" s="58" t="s">
        <v>1234</v>
      </c>
      <c r="C441" s="58" t="s">
        <v>1235</v>
      </c>
    </row>
    <row r="442" spans="1:3">
      <c r="A442" s="58" t="s">
        <v>1236</v>
      </c>
      <c r="B442" s="58" t="s">
        <v>1234</v>
      </c>
      <c r="C442" s="58" t="s">
        <v>1235</v>
      </c>
    </row>
    <row r="443" spans="1:3">
      <c r="A443" s="58" t="s">
        <v>1237</v>
      </c>
      <c r="B443" s="58" t="s">
        <v>1238</v>
      </c>
      <c r="C443" s="58" t="s">
        <v>1239</v>
      </c>
    </row>
    <row r="444" spans="1:3">
      <c r="A444" s="58" t="s">
        <v>1240</v>
      </c>
      <c r="B444" s="58" t="s">
        <v>1241</v>
      </c>
      <c r="C444" s="58" t="s">
        <v>1242</v>
      </c>
    </row>
    <row r="445" spans="1:3">
      <c r="A445" s="58" t="s">
        <v>1243</v>
      </c>
      <c r="B445" s="58" t="s">
        <v>1244</v>
      </c>
      <c r="C445" s="58" t="s">
        <v>1245</v>
      </c>
    </row>
    <row r="446" spans="1:3">
      <c r="A446" s="58" t="s">
        <v>1246</v>
      </c>
      <c r="B446" s="58" t="s">
        <v>1247</v>
      </c>
      <c r="C446" s="58" t="s">
        <v>1248</v>
      </c>
    </row>
    <row r="447" spans="1:3">
      <c r="A447" s="58" t="s">
        <v>1249</v>
      </c>
      <c r="B447" s="58" t="s">
        <v>1250</v>
      </c>
      <c r="C447" s="58" t="s">
        <v>1251</v>
      </c>
    </row>
    <row r="448" spans="1:3">
      <c r="A448" s="58" t="s">
        <v>1252</v>
      </c>
      <c r="B448" s="58" t="s">
        <v>1253</v>
      </c>
      <c r="C448" s="58" t="s">
        <v>1254</v>
      </c>
    </row>
    <row r="449" spans="1:3">
      <c r="A449" s="58" t="s">
        <v>1255</v>
      </c>
      <c r="B449" s="58" t="s">
        <v>1253</v>
      </c>
      <c r="C449" s="58" t="s">
        <v>1254</v>
      </c>
    </row>
    <row r="450" spans="1:3">
      <c r="A450" s="58" t="s">
        <v>1256</v>
      </c>
      <c r="B450" s="58" t="s">
        <v>1257</v>
      </c>
      <c r="C450" s="58" t="s">
        <v>1258</v>
      </c>
    </row>
    <row r="451" spans="1:3">
      <c r="A451" s="58" t="s">
        <v>1259</v>
      </c>
      <c r="B451" s="58" t="s">
        <v>1260</v>
      </c>
      <c r="C451" s="58" t="s">
        <v>1261</v>
      </c>
    </row>
    <row r="452" spans="1:3">
      <c r="A452" s="58" t="s">
        <v>1262</v>
      </c>
      <c r="B452" s="58" t="s">
        <v>1263</v>
      </c>
      <c r="C452" s="58" t="s">
        <v>1264</v>
      </c>
    </row>
    <row r="453" spans="1:3">
      <c r="A453" s="58" t="s">
        <v>1265</v>
      </c>
      <c r="B453" s="58" t="s">
        <v>1266</v>
      </c>
      <c r="C453" s="58" t="s">
        <v>1267</v>
      </c>
    </row>
    <row r="454" spans="1:3">
      <c r="A454" s="58" t="s">
        <v>1268</v>
      </c>
      <c r="B454" s="58" t="s">
        <v>1269</v>
      </c>
      <c r="C454" s="58" t="s">
        <v>1270</v>
      </c>
    </row>
    <row r="455" spans="1:3">
      <c r="A455" s="58" t="s">
        <v>1271</v>
      </c>
      <c r="B455" s="58" t="s">
        <v>1272</v>
      </c>
      <c r="C455" s="58" t="s">
        <v>1273</v>
      </c>
    </row>
    <row r="456" spans="1:3">
      <c r="A456" s="58" t="s">
        <v>1274</v>
      </c>
      <c r="B456" s="58" t="s">
        <v>1275</v>
      </c>
      <c r="C456" s="58" t="s">
        <v>1276</v>
      </c>
    </row>
    <row r="457" spans="1:3">
      <c r="A457" s="58" t="s">
        <v>1277</v>
      </c>
      <c r="B457" s="58" t="s">
        <v>1278</v>
      </c>
      <c r="C457" s="58" t="s">
        <v>1279</v>
      </c>
    </row>
    <row r="458" spans="1:3">
      <c r="A458" s="58" t="s">
        <v>1280</v>
      </c>
      <c r="B458" s="58" t="s">
        <v>1281</v>
      </c>
      <c r="C458" s="58" t="s">
        <v>1282</v>
      </c>
    </row>
    <row r="459" spans="1:3">
      <c r="A459" s="58" t="s">
        <v>1283</v>
      </c>
      <c r="B459" s="58" t="s">
        <v>1284</v>
      </c>
      <c r="C459" s="58" t="s">
        <v>1285</v>
      </c>
    </row>
    <row r="460" spans="1:3">
      <c r="A460" s="58" t="s">
        <v>1286</v>
      </c>
      <c r="B460" s="58" t="s">
        <v>1287</v>
      </c>
      <c r="C460" s="58" t="s">
        <v>1288</v>
      </c>
    </row>
    <row r="461" spans="1:3">
      <c r="A461" s="58" t="s">
        <v>1289</v>
      </c>
      <c r="B461" s="58" t="s">
        <v>1290</v>
      </c>
      <c r="C461" s="58" t="s">
        <v>1291</v>
      </c>
    </row>
    <row r="462" spans="1:3">
      <c r="A462" s="58" t="s">
        <v>1292</v>
      </c>
      <c r="B462" s="58" t="s">
        <v>1293</v>
      </c>
      <c r="C462" s="58" t="s">
        <v>1294</v>
      </c>
    </row>
    <row r="463" spans="1:3">
      <c r="A463" s="58" t="s">
        <v>1295</v>
      </c>
      <c r="B463" s="58" t="s">
        <v>1296</v>
      </c>
      <c r="C463" s="58" t="s">
        <v>1297</v>
      </c>
    </row>
    <row r="464" spans="1:3">
      <c r="A464" s="58" t="s">
        <v>1298</v>
      </c>
      <c r="B464" s="58" t="s">
        <v>1299</v>
      </c>
      <c r="C464" s="58" t="s">
        <v>1300</v>
      </c>
    </row>
    <row r="465" spans="1:3">
      <c r="A465" s="58" t="s">
        <v>1301</v>
      </c>
      <c r="B465" s="58" t="s">
        <v>1302</v>
      </c>
      <c r="C465" s="58" t="s">
        <v>1303</v>
      </c>
    </row>
    <row r="466" spans="1:3">
      <c r="A466" s="58" t="s">
        <v>1304</v>
      </c>
      <c r="B466" s="58" t="s">
        <v>1305</v>
      </c>
      <c r="C466" s="58" t="s">
        <v>1306</v>
      </c>
    </row>
    <row r="467" spans="1:3">
      <c r="A467" s="58" t="s">
        <v>1307</v>
      </c>
      <c r="B467" s="58" t="s">
        <v>1308</v>
      </c>
      <c r="C467" s="58" t="s">
        <v>1309</v>
      </c>
    </row>
    <row r="468" spans="1:3">
      <c r="A468" s="58" t="s">
        <v>1310</v>
      </c>
      <c r="B468" s="58" t="s">
        <v>1311</v>
      </c>
      <c r="C468" s="58" t="s">
        <v>1312</v>
      </c>
    </row>
    <row r="469" spans="1:3">
      <c r="A469" s="58" t="s">
        <v>1313</v>
      </c>
      <c r="B469" s="58" t="s">
        <v>1314</v>
      </c>
      <c r="C469" s="58" t="s">
        <v>1315</v>
      </c>
    </row>
    <row r="470" spans="1:3">
      <c r="A470" s="58" t="s">
        <v>1316</v>
      </c>
      <c r="B470" s="58" t="s">
        <v>1317</v>
      </c>
      <c r="C470" s="58" t="s">
        <v>1318</v>
      </c>
    </row>
    <row r="471" spans="1:3">
      <c r="A471" s="58" t="s">
        <v>1319</v>
      </c>
      <c r="B471" s="58" t="s">
        <v>1320</v>
      </c>
      <c r="C471" s="58" t="s">
        <v>1321</v>
      </c>
    </row>
    <row r="472" spans="1:3">
      <c r="A472" s="58" t="s">
        <v>1322</v>
      </c>
      <c r="B472" s="58" t="s">
        <v>1323</v>
      </c>
      <c r="C472" s="58" t="s">
        <v>1324</v>
      </c>
    </row>
    <row r="473" spans="1:3">
      <c r="A473" s="58" t="s">
        <v>1325</v>
      </c>
      <c r="B473" s="58" t="s">
        <v>1326</v>
      </c>
      <c r="C473" s="58" t="s">
        <v>1327</v>
      </c>
    </row>
    <row r="474" spans="1:3">
      <c r="A474" s="58" t="s">
        <v>1328</v>
      </c>
      <c r="B474" s="58" t="s">
        <v>1329</v>
      </c>
      <c r="C474" s="58" t="s">
        <v>1330</v>
      </c>
    </row>
    <row r="475" spans="1:3">
      <c r="A475" s="58" t="s">
        <v>1331</v>
      </c>
      <c r="B475" s="58" t="s">
        <v>1332</v>
      </c>
      <c r="C475" s="58" t="s">
        <v>1333</v>
      </c>
    </row>
    <row r="476" spans="1:3">
      <c r="A476" s="58" t="s">
        <v>1334</v>
      </c>
      <c r="B476" s="58" t="s">
        <v>1335</v>
      </c>
      <c r="C476" s="58" t="s">
        <v>1336</v>
      </c>
    </row>
    <row r="477" spans="1:3">
      <c r="A477" s="58" t="s">
        <v>1337</v>
      </c>
      <c r="B477" s="58" t="s">
        <v>1338</v>
      </c>
      <c r="C477" s="58" t="s">
        <v>1339</v>
      </c>
    </row>
    <row r="478" spans="1:3">
      <c r="A478" s="58" t="s">
        <v>1340</v>
      </c>
      <c r="B478" s="58" t="s">
        <v>1341</v>
      </c>
      <c r="C478" s="58" t="s">
        <v>1342</v>
      </c>
    </row>
    <row r="479" spans="1:3">
      <c r="A479" s="58" t="s">
        <v>1343</v>
      </c>
      <c r="B479" s="58" t="s">
        <v>1344</v>
      </c>
      <c r="C479" s="58" t="s">
        <v>1345</v>
      </c>
    </row>
    <row r="480" spans="1:3">
      <c r="A480" s="58" t="s">
        <v>1346</v>
      </c>
      <c r="B480" s="58" t="s">
        <v>1347</v>
      </c>
      <c r="C480" s="58" t="s">
        <v>1348</v>
      </c>
    </row>
    <row r="481" spans="1:3">
      <c r="A481" s="58" t="s">
        <v>1349</v>
      </c>
      <c r="B481" s="58" t="s">
        <v>1350</v>
      </c>
      <c r="C481" s="58" t="s">
        <v>1351</v>
      </c>
    </row>
    <row r="482" spans="1:3">
      <c r="A482" s="58" t="s">
        <v>1352</v>
      </c>
      <c r="B482" s="58" t="s">
        <v>1353</v>
      </c>
      <c r="C482" s="58" t="s">
        <v>1354</v>
      </c>
    </row>
    <row r="483" spans="1:3">
      <c r="A483" s="58" t="s">
        <v>1355</v>
      </c>
      <c r="B483" s="58" t="s">
        <v>1356</v>
      </c>
      <c r="C483" s="58" t="s">
        <v>1248</v>
      </c>
    </row>
    <row r="484" spans="1:3">
      <c r="A484" s="58" t="s">
        <v>1357</v>
      </c>
      <c r="B484" s="58" t="s">
        <v>1358</v>
      </c>
      <c r="C484" s="58" t="s">
        <v>1359</v>
      </c>
    </row>
    <row r="485" spans="1:3">
      <c r="A485" s="58" t="s">
        <v>1360</v>
      </c>
      <c r="B485" s="58" t="s">
        <v>1361</v>
      </c>
      <c r="C485" s="58" t="s">
        <v>1362</v>
      </c>
    </row>
    <row r="486" spans="1:3">
      <c r="A486" s="58" t="s">
        <v>1363</v>
      </c>
      <c r="B486" s="58" t="s">
        <v>1364</v>
      </c>
      <c r="C486" s="58" t="s">
        <v>1365</v>
      </c>
    </row>
    <row r="487" spans="1:3">
      <c r="A487" s="58" t="s">
        <v>1366</v>
      </c>
      <c r="B487" s="58" t="s">
        <v>1367</v>
      </c>
      <c r="C487" s="58" t="s">
        <v>1368</v>
      </c>
    </row>
    <row r="488" spans="1:3">
      <c r="A488" s="58" t="s">
        <v>1369</v>
      </c>
      <c r="B488" s="58" t="s">
        <v>1370</v>
      </c>
      <c r="C488" s="58" t="s">
        <v>1371</v>
      </c>
    </row>
    <row r="489" spans="1:3">
      <c r="A489" s="58" t="s">
        <v>1372</v>
      </c>
      <c r="B489" s="58" t="s">
        <v>1373</v>
      </c>
      <c r="C489" s="58" t="s">
        <v>1374</v>
      </c>
    </row>
    <row r="490" spans="1:3">
      <c r="A490" s="58" t="s">
        <v>1375</v>
      </c>
      <c r="B490" s="58" t="s">
        <v>1376</v>
      </c>
      <c r="C490" s="58" t="s">
        <v>1377</v>
      </c>
    </row>
    <row r="491" spans="1:3">
      <c r="A491" s="58" t="s">
        <v>1378</v>
      </c>
      <c r="B491" s="58" t="s">
        <v>1379</v>
      </c>
      <c r="C491" s="58" t="s">
        <v>1380</v>
      </c>
    </row>
    <row r="492" spans="1:3">
      <c r="A492" s="58" t="s">
        <v>1381</v>
      </c>
      <c r="B492" s="58" t="s">
        <v>1382</v>
      </c>
      <c r="C492" s="58" t="s">
        <v>1383</v>
      </c>
    </row>
    <row r="493" spans="1:3">
      <c r="A493" s="58" t="s">
        <v>1384</v>
      </c>
      <c r="B493" s="58" t="s">
        <v>1385</v>
      </c>
      <c r="C493" s="58" t="s">
        <v>1386</v>
      </c>
    </row>
    <row r="494" spans="1:3">
      <c r="A494" s="58" t="s">
        <v>1387</v>
      </c>
      <c r="B494" s="58" t="s">
        <v>1388</v>
      </c>
      <c r="C494" s="58" t="s">
        <v>1389</v>
      </c>
    </row>
    <row r="495" spans="1:3">
      <c r="A495" s="58" t="s">
        <v>1390</v>
      </c>
      <c r="B495" s="58" t="s">
        <v>1391</v>
      </c>
      <c r="C495" s="58" t="s">
        <v>1392</v>
      </c>
    </row>
    <row r="496" spans="1:3">
      <c r="A496" s="58" t="s">
        <v>1393</v>
      </c>
      <c r="B496" s="58" t="s">
        <v>1394</v>
      </c>
      <c r="C496" s="58" t="s">
        <v>1395</v>
      </c>
    </row>
    <row r="497" spans="1:3">
      <c r="A497" s="58" t="s">
        <v>1396</v>
      </c>
      <c r="B497" s="58" t="s">
        <v>1397</v>
      </c>
      <c r="C497" s="58" t="s">
        <v>1398</v>
      </c>
    </row>
    <row r="498" spans="1:3">
      <c r="A498" s="58" t="s">
        <v>1399</v>
      </c>
      <c r="B498" s="58" t="s">
        <v>1400</v>
      </c>
      <c r="C498" s="58" t="s">
        <v>1401</v>
      </c>
    </row>
    <row r="499" spans="1:3">
      <c r="A499" s="58" t="s">
        <v>1402</v>
      </c>
      <c r="B499" s="58" t="s">
        <v>1403</v>
      </c>
      <c r="C499" s="58" t="s">
        <v>1404</v>
      </c>
    </row>
    <row r="500" spans="1:3">
      <c r="A500" s="58" t="s">
        <v>1405</v>
      </c>
      <c r="B500" s="58" t="s">
        <v>1406</v>
      </c>
      <c r="C500" s="58" t="s">
        <v>1407</v>
      </c>
    </row>
    <row r="501" spans="1:3">
      <c r="A501" s="58" t="s">
        <v>1408</v>
      </c>
      <c r="B501" s="58" t="s">
        <v>1409</v>
      </c>
      <c r="C501" s="58" t="s">
        <v>1410</v>
      </c>
    </row>
    <row r="502" spans="1:3">
      <c r="A502" s="58" t="s">
        <v>1411</v>
      </c>
      <c r="B502" s="58" t="s">
        <v>1412</v>
      </c>
      <c r="C502" s="58" t="s">
        <v>1413</v>
      </c>
    </row>
    <row r="503" spans="1:3">
      <c r="A503" s="58" t="s">
        <v>1414</v>
      </c>
      <c r="B503" s="58" t="s">
        <v>1415</v>
      </c>
      <c r="C503" s="58" t="s">
        <v>1416</v>
      </c>
    </row>
    <row r="504" spans="1:3">
      <c r="A504" s="58" t="s">
        <v>1417</v>
      </c>
      <c r="B504" s="58" t="s">
        <v>1418</v>
      </c>
      <c r="C504" s="58" t="s">
        <v>1419</v>
      </c>
    </row>
    <row r="505" spans="1:3">
      <c r="A505" s="58" t="s">
        <v>1420</v>
      </c>
      <c r="B505" s="58" t="s">
        <v>1421</v>
      </c>
      <c r="C505" s="58" t="s">
        <v>1422</v>
      </c>
    </row>
    <row r="506" spans="1:3">
      <c r="A506" s="58" t="s">
        <v>1423</v>
      </c>
      <c r="B506" s="58" t="s">
        <v>1424</v>
      </c>
      <c r="C506" s="58" t="s">
        <v>1425</v>
      </c>
    </row>
    <row r="507" spans="1:3">
      <c r="A507" s="58" t="s">
        <v>1426</v>
      </c>
      <c r="B507" s="58" t="s">
        <v>1427</v>
      </c>
      <c r="C507" s="58" t="s">
        <v>1404</v>
      </c>
    </row>
    <row r="508" spans="1:3">
      <c r="A508" s="58" t="s">
        <v>1428</v>
      </c>
      <c r="B508" s="58" t="s">
        <v>1429</v>
      </c>
      <c r="C508" s="58" t="s">
        <v>1430</v>
      </c>
    </row>
    <row r="509" spans="1:3">
      <c r="A509" s="58" t="s">
        <v>1431</v>
      </c>
      <c r="B509" s="58" t="s">
        <v>1432</v>
      </c>
      <c r="C509" s="58" t="s">
        <v>1433</v>
      </c>
    </row>
    <row r="510" spans="1:3">
      <c r="A510" s="58" t="s">
        <v>1434</v>
      </c>
      <c r="B510" s="58" t="s">
        <v>1435</v>
      </c>
      <c r="C510" s="58" t="s">
        <v>1436</v>
      </c>
    </row>
    <row r="511" spans="1:3">
      <c r="A511" s="58" t="s">
        <v>1437</v>
      </c>
      <c r="B511" s="58" t="s">
        <v>1438</v>
      </c>
      <c r="C511" s="58" t="s">
        <v>1439</v>
      </c>
    </row>
    <row r="512" spans="1:3">
      <c r="A512" s="58" t="s">
        <v>1440</v>
      </c>
      <c r="B512" s="58" t="s">
        <v>1441</v>
      </c>
      <c r="C512" s="58" t="s">
        <v>1442</v>
      </c>
    </row>
    <row r="513" spans="1:3">
      <c r="A513" s="58" t="s">
        <v>1443</v>
      </c>
      <c r="B513" s="58" t="s">
        <v>1444</v>
      </c>
      <c r="C513" s="58" t="s">
        <v>1445</v>
      </c>
    </row>
    <row r="514" spans="1:3">
      <c r="A514" s="58" t="s">
        <v>1446</v>
      </c>
      <c r="B514" s="58" t="s">
        <v>1447</v>
      </c>
      <c r="C514" s="58" t="s">
        <v>1448</v>
      </c>
    </row>
    <row r="515" spans="1:3">
      <c r="A515" s="58" t="s">
        <v>1449</v>
      </c>
      <c r="B515" s="58" t="s">
        <v>1450</v>
      </c>
      <c r="C515" s="58" t="s">
        <v>1451</v>
      </c>
    </row>
    <row r="516" spans="1:3">
      <c r="A516" s="58" t="s">
        <v>1452</v>
      </c>
      <c r="B516" s="58" t="s">
        <v>1453</v>
      </c>
      <c r="C516" s="58" t="s">
        <v>1454</v>
      </c>
    </row>
    <row r="517" spans="1:3">
      <c r="A517" s="58" t="s">
        <v>1455</v>
      </c>
      <c r="B517" s="58" t="s">
        <v>1456</v>
      </c>
      <c r="C517" s="58" t="s">
        <v>1457</v>
      </c>
    </row>
    <row r="518" spans="1:3">
      <c r="A518" s="58" t="s">
        <v>1458</v>
      </c>
      <c r="B518" s="58" t="s">
        <v>1459</v>
      </c>
      <c r="C518" s="58" t="s">
        <v>1460</v>
      </c>
    </row>
    <row r="519" spans="1:3">
      <c r="A519" s="58" t="s">
        <v>1461</v>
      </c>
      <c r="B519" s="58" t="s">
        <v>1462</v>
      </c>
      <c r="C519" s="58" t="s">
        <v>1463</v>
      </c>
    </row>
    <row r="520" spans="1:3">
      <c r="A520" s="58" t="s">
        <v>1464</v>
      </c>
      <c r="B520" s="58" t="s">
        <v>1465</v>
      </c>
      <c r="C520" s="58" t="s">
        <v>1466</v>
      </c>
    </row>
    <row r="521" spans="1:3">
      <c r="A521" s="58" t="s">
        <v>1467</v>
      </c>
      <c r="B521" s="58" t="s">
        <v>1465</v>
      </c>
      <c r="C521" s="58" t="s">
        <v>1466</v>
      </c>
    </row>
    <row r="522" spans="1:3">
      <c r="A522" s="58" t="s">
        <v>1468</v>
      </c>
      <c r="B522" s="58" t="s">
        <v>1469</v>
      </c>
      <c r="C522" s="58" t="s">
        <v>1470</v>
      </c>
    </row>
    <row r="523" spans="1:3">
      <c r="A523" s="58" t="s">
        <v>1471</v>
      </c>
      <c r="B523" s="58" t="s">
        <v>1472</v>
      </c>
      <c r="C523" s="58" t="s">
        <v>1473</v>
      </c>
    </row>
    <row r="524" spans="1:3">
      <c r="A524" s="58" t="s">
        <v>1474</v>
      </c>
      <c r="B524" s="58" t="s">
        <v>1475</v>
      </c>
      <c r="C524" s="58" t="s">
        <v>1476</v>
      </c>
    </row>
    <row r="525" spans="1:3">
      <c r="A525" s="58" t="s">
        <v>1477</v>
      </c>
      <c r="B525" s="58" t="s">
        <v>1478</v>
      </c>
      <c r="C525" s="58" t="s">
        <v>1479</v>
      </c>
    </row>
    <row r="526" spans="1:3">
      <c r="A526" s="58" t="s">
        <v>1480</v>
      </c>
      <c r="B526" s="58" t="s">
        <v>1481</v>
      </c>
      <c r="C526" s="58" t="s">
        <v>1482</v>
      </c>
    </row>
    <row r="527" spans="1:3">
      <c r="A527" s="58" t="s">
        <v>1483</v>
      </c>
      <c r="B527" s="58" t="s">
        <v>1484</v>
      </c>
      <c r="C527" s="58" t="s">
        <v>1485</v>
      </c>
    </row>
    <row r="528" spans="1:3">
      <c r="A528" s="58" t="s">
        <v>1486</v>
      </c>
      <c r="B528" s="58" t="s">
        <v>1487</v>
      </c>
      <c r="C528" s="58" t="s">
        <v>1488</v>
      </c>
    </row>
    <row r="529" spans="1:3">
      <c r="A529" s="58" t="s">
        <v>1489</v>
      </c>
      <c r="B529" s="58" t="s">
        <v>1490</v>
      </c>
      <c r="C529" s="58" t="s">
        <v>1491</v>
      </c>
    </row>
    <row r="530" spans="1:3">
      <c r="A530" s="58" t="s">
        <v>1492</v>
      </c>
      <c r="B530" s="58" t="s">
        <v>1493</v>
      </c>
      <c r="C530" s="58" t="s">
        <v>1494</v>
      </c>
    </row>
    <row r="531" spans="1:3">
      <c r="A531" s="58" t="s">
        <v>1495</v>
      </c>
      <c r="B531" s="58" t="s">
        <v>1496</v>
      </c>
      <c r="C531" s="58" t="s">
        <v>1497</v>
      </c>
    </row>
    <row r="532" spans="1:3">
      <c r="A532" s="58" t="s">
        <v>1498</v>
      </c>
      <c r="B532" s="58" t="s">
        <v>1499</v>
      </c>
      <c r="C532" s="58" t="s">
        <v>1500</v>
      </c>
    </row>
    <row r="533" spans="1:3">
      <c r="A533" s="58" t="s">
        <v>1501</v>
      </c>
      <c r="B533" s="58" t="s">
        <v>1502</v>
      </c>
      <c r="C533" s="58" t="s">
        <v>1503</v>
      </c>
    </row>
    <row r="534" spans="1:3">
      <c r="A534" s="58" t="s">
        <v>1504</v>
      </c>
      <c r="B534" s="58" t="s">
        <v>1505</v>
      </c>
      <c r="C534" s="58" t="s">
        <v>1506</v>
      </c>
    </row>
    <row r="535" spans="1:3">
      <c r="A535" s="58" t="s">
        <v>1507</v>
      </c>
      <c r="B535" s="58" t="s">
        <v>1508</v>
      </c>
      <c r="C535" s="58" t="s">
        <v>1509</v>
      </c>
    </row>
    <row r="536" spans="1:3">
      <c r="A536" s="58" t="s">
        <v>1510</v>
      </c>
      <c r="B536" s="58" t="s">
        <v>1511</v>
      </c>
      <c r="C536" s="58" t="s">
        <v>1512</v>
      </c>
    </row>
    <row r="537" spans="1:3">
      <c r="A537" s="58" t="s">
        <v>1513</v>
      </c>
      <c r="B537" s="58" t="s">
        <v>1514</v>
      </c>
      <c r="C537" s="58" t="s">
        <v>1515</v>
      </c>
    </row>
    <row r="538" spans="1:3">
      <c r="A538" s="58" t="s">
        <v>1516</v>
      </c>
      <c r="B538" s="58" t="s">
        <v>1517</v>
      </c>
      <c r="C538" s="58" t="s">
        <v>1518</v>
      </c>
    </row>
    <row r="539" spans="1:3">
      <c r="A539" s="58" t="s">
        <v>1519</v>
      </c>
      <c r="B539" s="58" t="s">
        <v>1520</v>
      </c>
      <c r="C539" s="58" t="s">
        <v>1521</v>
      </c>
    </row>
    <row r="540" spans="1:3">
      <c r="A540" s="58" t="s">
        <v>1522</v>
      </c>
      <c r="B540" s="58" t="s">
        <v>1523</v>
      </c>
      <c r="C540" s="58" t="s">
        <v>1524</v>
      </c>
    </row>
    <row r="541" spans="1:3">
      <c r="A541" s="58" t="s">
        <v>1525</v>
      </c>
      <c r="B541" s="58" t="s">
        <v>1523</v>
      </c>
      <c r="C541" s="58" t="s">
        <v>1526</v>
      </c>
    </row>
    <row r="542" spans="1:3">
      <c r="A542" s="58" t="s">
        <v>1527</v>
      </c>
      <c r="B542" s="58" t="s">
        <v>1528</v>
      </c>
      <c r="C542" s="58" t="s">
        <v>1529</v>
      </c>
    </row>
    <row r="543" spans="1:3">
      <c r="A543" s="58" t="s">
        <v>1530</v>
      </c>
      <c r="B543" s="58" t="s">
        <v>1528</v>
      </c>
      <c r="C543" s="58" t="s">
        <v>1529</v>
      </c>
    </row>
    <row r="544" spans="1:3">
      <c r="A544" s="58" t="s">
        <v>1531</v>
      </c>
      <c r="B544" s="58" t="s">
        <v>1528</v>
      </c>
      <c r="C544" s="58" t="s">
        <v>1529</v>
      </c>
    </row>
    <row r="545" spans="1:3">
      <c r="A545" s="58" t="s">
        <v>1532</v>
      </c>
      <c r="B545" s="58" t="s">
        <v>1533</v>
      </c>
      <c r="C545" s="58" t="s">
        <v>1534</v>
      </c>
    </row>
    <row r="546" spans="1:3">
      <c r="A546" s="58" t="s">
        <v>1535</v>
      </c>
      <c r="B546" s="58" t="s">
        <v>1536</v>
      </c>
      <c r="C546" s="58" t="s">
        <v>1537</v>
      </c>
    </row>
    <row r="547" spans="1:3">
      <c r="A547" s="58" t="s">
        <v>1538</v>
      </c>
      <c r="B547" s="58" t="s">
        <v>1539</v>
      </c>
      <c r="C547" s="58" t="s">
        <v>1540</v>
      </c>
    </row>
    <row r="548" spans="1:3">
      <c r="A548" s="58" t="s">
        <v>1541</v>
      </c>
      <c r="B548" s="58" t="s">
        <v>1542</v>
      </c>
      <c r="C548" s="58" t="s">
        <v>1543</v>
      </c>
    </row>
    <row r="549" spans="1:3">
      <c r="A549" s="58" t="s">
        <v>1544</v>
      </c>
      <c r="B549" s="58" t="s">
        <v>1545</v>
      </c>
      <c r="C549" s="58" t="s">
        <v>1546</v>
      </c>
    </row>
    <row r="550" spans="1:3">
      <c r="A550" s="58" t="s">
        <v>1547</v>
      </c>
      <c r="B550" s="58" t="s">
        <v>1548</v>
      </c>
      <c r="C550" s="58" t="s">
        <v>1549</v>
      </c>
    </row>
    <row r="551" spans="1:3">
      <c r="A551" s="58" t="s">
        <v>1550</v>
      </c>
      <c r="B551" s="58" t="s">
        <v>1551</v>
      </c>
      <c r="C551" s="58" t="s">
        <v>1552</v>
      </c>
    </row>
    <row r="552" spans="1:3">
      <c r="A552" s="58" t="s">
        <v>1553</v>
      </c>
      <c r="B552" s="58" t="s">
        <v>1554</v>
      </c>
      <c r="C552" s="58" t="s">
        <v>1555</v>
      </c>
    </row>
    <row r="553" spans="1:3">
      <c r="A553" s="58" t="s">
        <v>1556</v>
      </c>
      <c r="B553" s="58" t="s">
        <v>1557</v>
      </c>
      <c r="C553" s="58" t="s">
        <v>1558</v>
      </c>
    </row>
    <row r="554" spans="1:3">
      <c r="A554" s="58" t="s">
        <v>1559</v>
      </c>
      <c r="B554" s="58" t="s">
        <v>1560</v>
      </c>
      <c r="C554" s="58" t="s">
        <v>1561</v>
      </c>
    </row>
    <row r="555" spans="1:3">
      <c r="A555" s="58" t="s">
        <v>1562</v>
      </c>
      <c r="B555" s="58" t="s">
        <v>1563</v>
      </c>
      <c r="C555" s="58" t="s">
        <v>1564</v>
      </c>
    </row>
    <row r="556" spans="1:3">
      <c r="A556" s="58" t="s">
        <v>1565</v>
      </c>
      <c r="B556" s="58" t="s">
        <v>1566</v>
      </c>
      <c r="C556" s="58" t="s">
        <v>1567</v>
      </c>
    </row>
    <row r="557" spans="1:3">
      <c r="A557" s="58" t="s">
        <v>1568</v>
      </c>
      <c r="B557" s="58" t="s">
        <v>1569</v>
      </c>
      <c r="C557" s="58" t="s">
        <v>1570</v>
      </c>
    </row>
    <row r="558" spans="1:3">
      <c r="A558" s="58" t="s">
        <v>1571</v>
      </c>
      <c r="B558" s="58" t="s">
        <v>1572</v>
      </c>
      <c r="C558" s="58" t="s">
        <v>1573</v>
      </c>
    </row>
    <row r="559" spans="1:3">
      <c r="A559" s="58" t="s">
        <v>1574</v>
      </c>
      <c r="B559" s="58" t="s">
        <v>1575</v>
      </c>
      <c r="C559" s="58" t="s">
        <v>1576</v>
      </c>
    </row>
    <row r="560" spans="1:3">
      <c r="A560" s="58" t="s">
        <v>1577</v>
      </c>
      <c r="B560" s="58" t="s">
        <v>1578</v>
      </c>
      <c r="C560" s="58" t="s">
        <v>1579</v>
      </c>
    </row>
    <row r="561" spans="1:3">
      <c r="A561" s="58" t="s">
        <v>1580</v>
      </c>
      <c r="B561" s="58" t="s">
        <v>1581</v>
      </c>
      <c r="C561" s="58" t="s">
        <v>1582</v>
      </c>
    </row>
    <row r="562" spans="1:3">
      <c r="A562" s="58" t="s">
        <v>1583</v>
      </c>
      <c r="B562" s="58" t="s">
        <v>1584</v>
      </c>
      <c r="C562" s="58" t="s">
        <v>1585</v>
      </c>
    </row>
    <row r="563" spans="1:3">
      <c r="A563" s="58" t="s">
        <v>1586</v>
      </c>
      <c r="B563" s="58" t="s">
        <v>1587</v>
      </c>
      <c r="C563" s="58" t="s">
        <v>1588</v>
      </c>
    </row>
    <row r="564" spans="1:3">
      <c r="A564" s="58" t="s">
        <v>1589</v>
      </c>
      <c r="B564" s="58" t="s">
        <v>1590</v>
      </c>
      <c r="C564" s="58" t="s">
        <v>1591</v>
      </c>
    </row>
    <row r="565" spans="1:3">
      <c r="A565" s="58" t="s">
        <v>1592</v>
      </c>
      <c r="B565" s="58" t="s">
        <v>1593</v>
      </c>
      <c r="C565" s="58" t="s">
        <v>1594</v>
      </c>
    </row>
    <row r="566" spans="1:3">
      <c r="A566" s="58" t="s">
        <v>1595</v>
      </c>
      <c r="B566" s="58" t="s">
        <v>1596</v>
      </c>
      <c r="C566" s="58" t="s">
        <v>1597</v>
      </c>
    </row>
    <row r="567" spans="1:3">
      <c r="A567" s="58" t="s">
        <v>1598</v>
      </c>
      <c r="B567" s="58" t="s">
        <v>1599</v>
      </c>
      <c r="C567" s="58" t="s">
        <v>1600</v>
      </c>
    </row>
    <row r="568" spans="1:3">
      <c r="A568" s="58" t="s">
        <v>1601</v>
      </c>
      <c r="B568" s="58" t="s">
        <v>1602</v>
      </c>
      <c r="C568" s="58" t="s">
        <v>1603</v>
      </c>
    </row>
    <row r="569" spans="1:3">
      <c r="A569" s="58" t="s">
        <v>1604</v>
      </c>
      <c r="B569" s="58" t="s">
        <v>1605</v>
      </c>
      <c r="C569" s="58" t="s">
        <v>1606</v>
      </c>
    </row>
    <row r="570" spans="1:3">
      <c r="A570" s="58" t="s">
        <v>1607</v>
      </c>
      <c r="B570" s="58" t="s">
        <v>1608</v>
      </c>
      <c r="C570" s="58" t="s">
        <v>1609</v>
      </c>
    </row>
    <row r="571" spans="1:3">
      <c r="A571" s="58" t="s">
        <v>1610</v>
      </c>
      <c r="B571" s="58" t="s">
        <v>1611</v>
      </c>
      <c r="C571" s="58" t="s">
        <v>1612</v>
      </c>
    </row>
    <row r="572" spans="1:3">
      <c r="A572" s="58" t="s">
        <v>1613</v>
      </c>
      <c r="B572" s="58" t="s">
        <v>1614</v>
      </c>
      <c r="C572" s="58" t="s">
        <v>1615</v>
      </c>
    </row>
    <row r="573" spans="1:3">
      <c r="A573" s="58" t="s">
        <v>1616</v>
      </c>
      <c r="B573" s="58" t="s">
        <v>1617</v>
      </c>
      <c r="C573" s="58" t="s">
        <v>1618</v>
      </c>
    </row>
    <row r="574" spans="1:3">
      <c r="A574" s="58" t="s">
        <v>1619</v>
      </c>
      <c r="B574" s="58" t="s">
        <v>1620</v>
      </c>
      <c r="C574" s="58" t="s">
        <v>1621</v>
      </c>
    </row>
    <row r="575" spans="1:3">
      <c r="A575" s="58" t="s">
        <v>1622</v>
      </c>
      <c r="B575" s="58" t="s">
        <v>1620</v>
      </c>
      <c r="C575" s="58" t="s">
        <v>1621</v>
      </c>
    </row>
    <row r="576" spans="1:3">
      <c r="A576" s="58" t="s">
        <v>1623</v>
      </c>
      <c r="B576" s="58" t="s">
        <v>1624</v>
      </c>
      <c r="C576" s="58" t="s">
        <v>1625</v>
      </c>
    </row>
    <row r="577" spans="1:3">
      <c r="A577" s="58" t="s">
        <v>1626</v>
      </c>
      <c r="B577" s="58" t="s">
        <v>1624</v>
      </c>
      <c r="C577" s="58" t="s">
        <v>1625</v>
      </c>
    </row>
    <row r="578" spans="1:3">
      <c r="A578" s="58" t="s">
        <v>1627</v>
      </c>
      <c r="B578" s="58" t="s">
        <v>1628</v>
      </c>
      <c r="C578" s="58" t="s">
        <v>1629</v>
      </c>
    </row>
    <row r="579" spans="1:3">
      <c r="A579" s="58" t="s">
        <v>1630</v>
      </c>
      <c r="B579" s="58" t="s">
        <v>1631</v>
      </c>
      <c r="C579" s="58" t="s">
        <v>1632</v>
      </c>
    </row>
    <row r="580" spans="1:3">
      <c r="A580" s="58" t="s">
        <v>1633</v>
      </c>
      <c r="B580" s="58" t="s">
        <v>1634</v>
      </c>
      <c r="C580" s="58" t="s">
        <v>1635</v>
      </c>
    </row>
    <row r="581" spans="1:3">
      <c r="A581" s="58" t="s">
        <v>1636</v>
      </c>
      <c r="B581" s="58" t="s">
        <v>1637</v>
      </c>
      <c r="C581" s="58" t="s">
        <v>1638</v>
      </c>
    </row>
    <row r="582" spans="1:3">
      <c r="A582" s="58" t="s">
        <v>1639</v>
      </c>
      <c r="B582" s="58" t="s">
        <v>1640</v>
      </c>
      <c r="C582" s="58" t="s">
        <v>1641</v>
      </c>
    </row>
    <row r="583" spans="1:3">
      <c r="A583" s="58" t="s">
        <v>1642</v>
      </c>
      <c r="B583" s="58" t="s">
        <v>1643</v>
      </c>
      <c r="C583" s="58" t="s">
        <v>1644</v>
      </c>
    </row>
    <row r="584" spans="1:3">
      <c r="A584" s="58" t="s">
        <v>1645</v>
      </c>
      <c r="B584" s="58" t="s">
        <v>1646</v>
      </c>
      <c r="C584" s="58" t="s">
        <v>1647</v>
      </c>
    </row>
    <row r="585" spans="1:3">
      <c r="A585" s="58" t="s">
        <v>1648</v>
      </c>
      <c r="B585" s="58" t="s">
        <v>1649</v>
      </c>
      <c r="C585" s="58" t="s">
        <v>1650</v>
      </c>
    </row>
    <row r="586" spans="1:3">
      <c r="A586" s="58" t="s">
        <v>1651</v>
      </c>
      <c r="B586" s="58" t="s">
        <v>1652</v>
      </c>
      <c r="C586" s="58" t="s">
        <v>1653</v>
      </c>
    </row>
    <row r="587" spans="1:3">
      <c r="A587" s="58" t="s">
        <v>1654</v>
      </c>
      <c r="B587" s="58" t="s">
        <v>1655</v>
      </c>
      <c r="C587" s="58" t="s">
        <v>1656</v>
      </c>
    </row>
    <row r="588" spans="1:3">
      <c r="A588" s="58" t="s">
        <v>1657</v>
      </c>
      <c r="B588" s="58" t="s">
        <v>1658</v>
      </c>
      <c r="C588" s="58" t="s">
        <v>1659</v>
      </c>
    </row>
    <row r="589" spans="1:3">
      <c r="A589" s="58" t="s">
        <v>1660</v>
      </c>
      <c r="B589" s="58" t="s">
        <v>1661</v>
      </c>
      <c r="C589" s="58" t="s">
        <v>1662</v>
      </c>
    </row>
    <row r="590" spans="1:3">
      <c r="A590" s="58" t="s">
        <v>1663</v>
      </c>
      <c r="B590" s="58" t="s">
        <v>1664</v>
      </c>
      <c r="C590" s="58" t="s">
        <v>1665</v>
      </c>
    </row>
    <row r="591" spans="1:3">
      <c r="A591" s="58" t="s">
        <v>1666</v>
      </c>
      <c r="B591" s="58" t="s">
        <v>1667</v>
      </c>
      <c r="C591" s="58" t="s">
        <v>1668</v>
      </c>
    </row>
    <row r="592" spans="1:3">
      <c r="A592" s="58" t="s">
        <v>1669</v>
      </c>
      <c r="B592" s="58" t="s">
        <v>1670</v>
      </c>
      <c r="C592" s="58" t="s">
        <v>1671</v>
      </c>
    </row>
    <row r="593" spans="1:3">
      <c r="A593" s="58" t="s">
        <v>1672</v>
      </c>
      <c r="B593" s="58" t="s">
        <v>1673</v>
      </c>
      <c r="C593" s="58" t="s">
        <v>1674</v>
      </c>
    </row>
    <row r="594" spans="1:3">
      <c r="A594" s="58" t="s">
        <v>1675</v>
      </c>
      <c r="B594" s="58" t="s">
        <v>1676</v>
      </c>
      <c r="C594" s="58" t="s">
        <v>1677</v>
      </c>
    </row>
    <row r="595" spans="1:3">
      <c r="A595" s="58" t="s">
        <v>1678</v>
      </c>
      <c r="B595" s="58" t="s">
        <v>1676</v>
      </c>
      <c r="C595" s="58" t="s">
        <v>1677</v>
      </c>
    </row>
    <row r="596" spans="1:3">
      <c r="A596" s="58" t="s">
        <v>1679</v>
      </c>
      <c r="B596" s="58" t="s">
        <v>1680</v>
      </c>
      <c r="C596" s="58" t="s">
        <v>1681</v>
      </c>
    </row>
    <row r="597" spans="1:3">
      <c r="A597" s="58" t="s">
        <v>1682</v>
      </c>
      <c r="B597" s="58" t="s">
        <v>1683</v>
      </c>
      <c r="C597" s="58" t="s">
        <v>1684</v>
      </c>
    </row>
    <row r="598" spans="1:3">
      <c r="A598" s="58" t="s">
        <v>1685</v>
      </c>
      <c r="B598" s="58" t="s">
        <v>1686</v>
      </c>
      <c r="C598" s="58" t="s">
        <v>1687</v>
      </c>
    </row>
    <row r="599" spans="1:3">
      <c r="A599" s="58" t="s">
        <v>1688</v>
      </c>
      <c r="B599" s="58" t="s">
        <v>1689</v>
      </c>
      <c r="C599" s="58" t="s">
        <v>1690</v>
      </c>
    </row>
    <row r="600" spans="1:3">
      <c r="A600" s="58" t="s">
        <v>1691</v>
      </c>
      <c r="B600" s="58" t="s">
        <v>1692</v>
      </c>
      <c r="C600" s="58" t="s">
        <v>1693</v>
      </c>
    </row>
    <row r="601" spans="1:3">
      <c r="A601" s="58" t="s">
        <v>1694</v>
      </c>
      <c r="B601" s="58" t="s">
        <v>1695</v>
      </c>
      <c r="C601" s="58" t="s">
        <v>1696</v>
      </c>
    </row>
    <row r="602" spans="1:3">
      <c r="A602" s="58" t="s">
        <v>1697</v>
      </c>
      <c r="B602" s="58" t="s">
        <v>1698</v>
      </c>
      <c r="C602" s="58" t="s">
        <v>1699</v>
      </c>
    </row>
    <row r="603" spans="1:3">
      <c r="A603" s="58" t="s">
        <v>1700</v>
      </c>
      <c r="B603" s="58" t="s">
        <v>1698</v>
      </c>
      <c r="C603" s="58" t="s">
        <v>1699</v>
      </c>
    </row>
    <row r="604" spans="1:3">
      <c r="A604" s="58" t="s">
        <v>1701</v>
      </c>
      <c r="B604" s="58" t="s">
        <v>1702</v>
      </c>
      <c r="C604" s="58" t="s">
        <v>1703</v>
      </c>
    </row>
    <row r="605" spans="1:3">
      <c r="A605" s="58" t="s">
        <v>1704</v>
      </c>
      <c r="B605" s="58" t="s">
        <v>1705</v>
      </c>
      <c r="C605" s="58" t="s">
        <v>1706</v>
      </c>
    </row>
    <row r="606" spans="1:3">
      <c r="A606" s="58" t="s">
        <v>1707</v>
      </c>
      <c r="B606" s="58" t="s">
        <v>1708</v>
      </c>
      <c r="C606" s="58" t="s">
        <v>1709</v>
      </c>
    </row>
    <row r="607" spans="1:3">
      <c r="A607" s="58" t="s">
        <v>1710</v>
      </c>
      <c r="B607" s="58" t="s">
        <v>1711</v>
      </c>
      <c r="C607" s="58" t="s">
        <v>1712</v>
      </c>
    </row>
    <row r="608" spans="1:3">
      <c r="A608" s="58" t="s">
        <v>1713</v>
      </c>
      <c r="B608" s="58" t="s">
        <v>1714</v>
      </c>
      <c r="C608" s="58" t="s">
        <v>1715</v>
      </c>
    </row>
    <row r="609" spans="1:3">
      <c r="A609" s="58" t="s">
        <v>1716</v>
      </c>
      <c r="B609" s="58" t="s">
        <v>1717</v>
      </c>
      <c r="C609" s="58" t="s">
        <v>1718</v>
      </c>
    </row>
    <row r="610" spans="1:3">
      <c r="A610" s="58" t="s">
        <v>1719</v>
      </c>
      <c r="B610" s="58" t="s">
        <v>1720</v>
      </c>
      <c r="C610" s="58" t="s">
        <v>1721</v>
      </c>
    </row>
    <row r="611" spans="1:3">
      <c r="A611" s="58" t="s">
        <v>1722</v>
      </c>
      <c r="B611" s="58" t="s">
        <v>1723</v>
      </c>
      <c r="C611" s="58" t="s">
        <v>1724</v>
      </c>
    </row>
    <row r="612" spans="1:3">
      <c r="A612" s="58" t="s">
        <v>1725</v>
      </c>
      <c r="B612" s="58" t="s">
        <v>1726</v>
      </c>
      <c r="C612" s="58" t="s">
        <v>1727</v>
      </c>
    </row>
    <row r="613" spans="1:3">
      <c r="A613" s="58" t="s">
        <v>1728</v>
      </c>
      <c r="B613" s="58" t="s">
        <v>1729</v>
      </c>
      <c r="C613" s="58" t="s">
        <v>1730</v>
      </c>
    </row>
    <row r="614" spans="1:3">
      <c r="A614" s="58" t="s">
        <v>1731</v>
      </c>
      <c r="B614" s="58" t="s">
        <v>1732</v>
      </c>
      <c r="C614" s="58" t="s">
        <v>1733</v>
      </c>
    </row>
    <row r="615" spans="1:3">
      <c r="A615" s="58" t="s">
        <v>1734</v>
      </c>
      <c r="B615" s="58" t="s">
        <v>1735</v>
      </c>
      <c r="C615" s="58" t="s">
        <v>1736</v>
      </c>
    </row>
    <row r="616" spans="1:3">
      <c r="A616" s="58" t="s">
        <v>1737</v>
      </c>
      <c r="B616" s="58" t="s">
        <v>1735</v>
      </c>
      <c r="C616" s="58" t="s">
        <v>1736</v>
      </c>
    </row>
    <row r="617" spans="1:3">
      <c r="A617" s="58" t="s">
        <v>1738</v>
      </c>
      <c r="B617" s="58" t="s">
        <v>1735</v>
      </c>
      <c r="C617" s="58" t="s">
        <v>1736</v>
      </c>
    </row>
    <row r="618" spans="1:3">
      <c r="A618" s="58" t="s">
        <v>1739</v>
      </c>
      <c r="B618" s="58" t="s">
        <v>1740</v>
      </c>
      <c r="C618" s="58" t="s">
        <v>1741</v>
      </c>
    </row>
    <row r="619" spans="1:3">
      <c r="A619" s="58" t="s">
        <v>1742</v>
      </c>
      <c r="B619" s="58" t="s">
        <v>1743</v>
      </c>
      <c r="C619" s="58" t="s">
        <v>1744</v>
      </c>
    </row>
    <row r="620" spans="1:3">
      <c r="A620" s="58" t="s">
        <v>1745</v>
      </c>
      <c r="B620" s="58" t="s">
        <v>1746</v>
      </c>
      <c r="C620" s="58" t="s">
        <v>1747</v>
      </c>
    </row>
    <row r="621" spans="1:3">
      <c r="A621" s="58" t="s">
        <v>1748</v>
      </c>
      <c r="B621" s="58" t="s">
        <v>1749</v>
      </c>
      <c r="C621" s="58" t="s">
        <v>1750</v>
      </c>
    </row>
    <row r="622" spans="1:3">
      <c r="A622" s="58" t="s">
        <v>1751</v>
      </c>
      <c r="B622" s="58" t="s">
        <v>1752</v>
      </c>
      <c r="C622" s="58" t="s">
        <v>1753</v>
      </c>
    </row>
    <row r="623" spans="1:3">
      <c r="A623" s="58" t="s">
        <v>1754</v>
      </c>
      <c r="B623" s="58" t="s">
        <v>1755</v>
      </c>
      <c r="C623" s="58" t="s">
        <v>1756</v>
      </c>
    </row>
    <row r="624" spans="1:3">
      <c r="A624" s="58" t="s">
        <v>1757</v>
      </c>
      <c r="B624" s="58" t="s">
        <v>1758</v>
      </c>
      <c r="C624" s="58" t="s">
        <v>1759</v>
      </c>
    </row>
    <row r="625" spans="1:3">
      <c r="A625" s="58" t="s">
        <v>1760</v>
      </c>
      <c r="B625" s="58" t="s">
        <v>1761</v>
      </c>
      <c r="C625" s="58" t="s">
        <v>1762</v>
      </c>
    </row>
    <row r="626" spans="1:3">
      <c r="A626" s="58" t="s">
        <v>1763</v>
      </c>
      <c r="B626" s="58" t="s">
        <v>1764</v>
      </c>
      <c r="C626" s="58" t="s">
        <v>1765</v>
      </c>
    </row>
    <row r="627" spans="1:3">
      <c r="A627" s="58" t="s">
        <v>1766</v>
      </c>
      <c r="B627" s="58" t="s">
        <v>1767</v>
      </c>
      <c r="C627" s="58" t="s">
        <v>1768</v>
      </c>
    </row>
    <row r="628" spans="1:3">
      <c r="A628" s="58" t="s">
        <v>1769</v>
      </c>
      <c r="B628" s="58" t="s">
        <v>1770</v>
      </c>
      <c r="C628" s="58" t="s">
        <v>1771</v>
      </c>
    </row>
    <row r="629" spans="1:3">
      <c r="A629" s="58" t="s">
        <v>1772</v>
      </c>
      <c r="B629" s="58" t="s">
        <v>1773</v>
      </c>
      <c r="C629" s="58" t="s">
        <v>1774</v>
      </c>
    </row>
    <row r="630" spans="1:3">
      <c r="A630" s="58" t="s">
        <v>1775</v>
      </c>
      <c r="B630" s="58" t="s">
        <v>1776</v>
      </c>
      <c r="C630" s="58" t="s">
        <v>1777</v>
      </c>
    </row>
    <row r="631" spans="1:3">
      <c r="A631" s="58" t="s">
        <v>1778</v>
      </c>
      <c r="B631" s="58" t="s">
        <v>1779</v>
      </c>
      <c r="C631" s="58" t="s">
        <v>1780</v>
      </c>
    </row>
    <row r="632" spans="1:3">
      <c r="A632" s="58" t="s">
        <v>1781</v>
      </c>
      <c r="B632" s="58" t="s">
        <v>1782</v>
      </c>
      <c r="C632" s="58" t="s">
        <v>1783</v>
      </c>
    </row>
    <row r="633" spans="1:3">
      <c r="A633" s="58" t="s">
        <v>1784</v>
      </c>
      <c r="B633" s="58" t="s">
        <v>1785</v>
      </c>
      <c r="C633" s="58" t="s">
        <v>1786</v>
      </c>
    </row>
    <row r="634" spans="1:3">
      <c r="A634" s="58" t="s">
        <v>1787</v>
      </c>
      <c r="B634" s="58" t="s">
        <v>1788</v>
      </c>
      <c r="C634" s="58" t="s">
        <v>1789</v>
      </c>
    </row>
    <row r="635" spans="1:3">
      <c r="A635" s="58" t="s">
        <v>1790</v>
      </c>
      <c r="B635" s="58" t="s">
        <v>1791</v>
      </c>
      <c r="C635" s="58" t="s">
        <v>1792</v>
      </c>
    </row>
    <row r="636" spans="1:3">
      <c r="A636" s="58" t="s">
        <v>1793</v>
      </c>
      <c r="B636" s="58" t="s">
        <v>1794</v>
      </c>
      <c r="C636" s="58" t="s">
        <v>1774</v>
      </c>
    </row>
    <row r="637" spans="1:3">
      <c r="A637" s="58" t="s">
        <v>1795</v>
      </c>
      <c r="B637" s="58" t="s">
        <v>1796</v>
      </c>
      <c r="C637" s="58" t="s">
        <v>1797</v>
      </c>
    </row>
    <row r="638" spans="1:3">
      <c r="A638" s="58" t="s">
        <v>1798</v>
      </c>
      <c r="B638" s="58" t="s">
        <v>1799</v>
      </c>
      <c r="C638" s="58" t="s">
        <v>1800</v>
      </c>
    </row>
    <row r="639" spans="1:3">
      <c r="A639" s="58" t="s">
        <v>1801</v>
      </c>
      <c r="B639" s="58" t="s">
        <v>1799</v>
      </c>
      <c r="C639" s="58" t="s">
        <v>1800</v>
      </c>
    </row>
    <row r="640" spans="1:3">
      <c r="A640" s="58" t="s">
        <v>1802</v>
      </c>
      <c r="B640" s="58" t="s">
        <v>1803</v>
      </c>
      <c r="C640" s="58" t="s">
        <v>1804</v>
      </c>
    </row>
    <row r="641" spans="1:3">
      <c r="A641" s="58" t="s">
        <v>1805</v>
      </c>
      <c r="B641" s="58" t="s">
        <v>1806</v>
      </c>
      <c r="C641" s="58" t="s">
        <v>1807</v>
      </c>
    </row>
    <row r="642" spans="1:3">
      <c r="A642" s="58" t="s">
        <v>1808</v>
      </c>
      <c r="B642" s="58" t="s">
        <v>1809</v>
      </c>
      <c r="C642" s="58" t="s">
        <v>1810</v>
      </c>
    </row>
    <row r="643" spans="1:3">
      <c r="A643" s="58" t="s">
        <v>1811</v>
      </c>
      <c r="B643" s="58" t="s">
        <v>1812</v>
      </c>
      <c r="C643" s="58" t="s">
        <v>1813</v>
      </c>
    </row>
    <row r="644" spans="1:3">
      <c r="A644" s="58" t="s">
        <v>1814</v>
      </c>
      <c r="B644" s="58" t="s">
        <v>1815</v>
      </c>
      <c r="C644" s="58" t="s">
        <v>1816</v>
      </c>
    </row>
    <row r="645" spans="1:3">
      <c r="A645" s="58" t="s">
        <v>1817</v>
      </c>
      <c r="B645" s="58" t="s">
        <v>1815</v>
      </c>
      <c r="C645" s="58" t="s">
        <v>1816</v>
      </c>
    </row>
    <row r="646" spans="1:3">
      <c r="A646" s="58" t="s">
        <v>1818</v>
      </c>
      <c r="B646" s="58" t="s">
        <v>1819</v>
      </c>
      <c r="C646" s="58" t="s">
        <v>1820</v>
      </c>
    </row>
    <row r="647" spans="1:3">
      <c r="A647" s="58" t="s">
        <v>1821</v>
      </c>
      <c r="B647" s="58" t="s">
        <v>1822</v>
      </c>
      <c r="C647" s="58" t="s">
        <v>1823</v>
      </c>
    </row>
    <row r="648" spans="1:3">
      <c r="A648" s="58" t="s">
        <v>1824</v>
      </c>
      <c r="B648" s="58" t="s">
        <v>1825</v>
      </c>
      <c r="C648" s="58" t="s">
        <v>1826</v>
      </c>
    </row>
    <row r="649" spans="1:3">
      <c r="A649" s="58" t="s">
        <v>1827</v>
      </c>
      <c r="B649" s="58" t="s">
        <v>1828</v>
      </c>
      <c r="C649" s="58" t="s">
        <v>1829</v>
      </c>
    </row>
    <row r="650" spans="1:3">
      <c r="A650" s="58" t="s">
        <v>1830</v>
      </c>
      <c r="B650" s="58" t="s">
        <v>1831</v>
      </c>
      <c r="C650" s="58" t="s">
        <v>1832</v>
      </c>
    </row>
    <row r="651" spans="1:3">
      <c r="A651" s="58" t="s">
        <v>1833</v>
      </c>
      <c r="B651" s="58" t="s">
        <v>1834</v>
      </c>
      <c r="C651" s="58" t="s">
        <v>1835</v>
      </c>
    </row>
    <row r="652" spans="1:3">
      <c r="A652" s="58" t="s">
        <v>1836</v>
      </c>
      <c r="B652" s="58" t="s">
        <v>1837</v>
      </c>
      <c r="C652" s="58" t="s">
        <v>1838</v>
      </c>
    </row>
    <row r="653" spans="1:3">
      <c r="A653" s="58" t="s">
        <v>1839</v>
      </c>
      <c r="B653" s="58" t="s">
        <v>1840</v>
      </c>
      <c r="C653" s="58" t="s">
        <v>1841</v>
      </c>
    </row>
    <row r="654" spans="1:3">
      <c r="A654" s="58" t="s">
        <v>1842</v>
      </c>
      <c r="B654" s="58" t="s">
        <v>1843</v>
      </c>
      <c r="C654" s="58" t="s">
        <v>1844</v>
      </c>
    </row>
    <row r="655" spans="1:3">
      <c r="A655" s="58" t="s">
        <v>1845</v>
      </c>
      <c r="B655" s="58" t="s">
        <v>1846</v>
      </c>
      <c r="C655" s="58" t="s">
        <v>1847</v>
      </c>
    </row>
    <row r="656" spans="1:3">
      <c r="A656" s="58" t="s">
        <v>1848</v>
      </c>
      <c r="B656" s="58" t="s">
        <v>1849</v>
      </c>
      <c r="C656" s="58" t="s">
        <v>1850</v>
      </c>
    </row>
    <row r="657" spans="1:3">
      <c r="A657" s="58" t="s">
        <v>1851</v>
      </c>
      <c r="B657" s="58" t="s">
        <v>1852</v>
      </c>
      <c r="C657" s="58" t="s">
        <v>1853</v>
      </c>
    </row>
    <row r="658" spans="1:3">
      <c r="A658" s="58" t="s">
        <v>1854</v>
      </c>
      <c r="B658" s="58" t="s">
        <v>1855</v>
      </c>
      <c r="C658" s="58" t="s">
        <v>1856</v>
      </c>
    </row>
    <row r="659" spans="1:3">
      <c r="A659" s="58" t="s">
        <v>1857</v>
      </c>
      <c r="B659" s="58" t="s">
        <v>1855</v>
      </c>
      <c r="C659" s="58" t="s">
        <v>1856</v>
      </c>
    </row>
    <row r="660" spans="1:3">
      <c r="A660" s="58" t="s">
        <v>1858</v>
      </c>
      <c r="B660" s="58" t="s">
        <v>1859</v>
      </c>
      <c r="C660" s="58" t="s">
        <v>1860</v>
      </c>
    </row>
    <row r="661" spans="1:3">
      <c r="A661" s="58" t="s">
        <v>1861</v>
      </c>
      <c r="B661" s="58" t="s">
        <v>1862</v>
      </c>
      <c r="C661" s="58" t="s">
        <v>1863</v>
      </c>
    </row>
    <row r="662" spans="1:3">
      <c r="A662" s="58" t="s">
        <v>1864</v>
      </c>
      <c r="B662" s="58" t="s">
        <v>1865</v>
      </c>
      <c r="C662" s="58" t="s">
        <v>1866</v>
      </c>
    </row>
    <row r="663" spans="1:3">
      <c r="A663" s="58" t="s">
        <v>1867</v>
      </c>
      <c r="B663" s="58" t="s">
        <v>1865</v>
      </c>
      <c r="C663" s="58" t="s">
        <v>1866</v>
      </c>
    </row>
    <row r="664" spans="1:3">
      <c r="A664" s="58" t="s">
        <v>1868</v>
      </c>
      <c r="B664" s="58" t="s">
        <v>1869</v>
      </c>
      <c r="C664" s="58" t="s">
        <v>1870</v>
      </c>
    </row>
    <row r="665" spans="1:3">
      <c r="A665" s="58" t="s">
        <v>1871</v>
      </c>
      <c r="B665" s="58" t="s">
        <v>1872</v>
      </c>
      <c r="C665" s="58" t="s">
        <v>1873</v>
      </c>
    </row>
    <row r="666" spans="1:3">
      <c r="A666" s="58" t="s">
        <v>1874</v>
      </c>
      <c r="B666" s="58" t="s">
        <v>1875</v>
      </c>
      <c r="C666" s="58" t="s">
        <v>1876</v>
      </c>
    </row>
    <row r="667" spans="1:3">
      <c r="A667" s="58" t="s">
        <v>1877</v>
      </c>
      <c r="B667" s="58" t="s">
        <v>1878</v>
      </c>
      <c r="C667" s="58" t="s">
        <v>1879</v>
      </c>
    </row>
    <row r="668" spans="1:3">
      <c r="A668" s="58" t="s">
        <v>1880</v>
      </c>
      <c r="B668" s="58" t="s">
        <v>1881</v>
      </c>
      <c r="C668" s="58" t="s">
        <v>1882</v>
      </c>
    </row>
    <row r="669" spans="1:3">
      <c r="A669" s="58" t="s">
        <v>1883</v>
      </c>
      <c r="B669" s="58" t="s">
        <v>1881</v>
      </c>
      <c r="C669" s="58" t="s">
        <v>1884</v>
      </c>
    </row>
    <row r="670" spans="1:3">
      <c r="A670" s="58" t="s">
        <v>1885</v>
      </c>
      <c r="B670" s="58" t="s">
        <v>1886</v>
      </c>
      <c r="C670" s="58" t="s">
        <v>1887</v>
      </c>
    </row>
    <row r="671" spans="1:3">
      <c r="A671" s="58" t="s">
        <v>1888</v>
      </c>
      <c r="B671" s="58" t="s">
        <v>1889</v>
      </c>
      <c r="C671" s="58" t="s">
        <v>1890</v>
      </c>
    </row>
    <row r="672" spans="1:3">
      <c r="A672" s="58" t="s">
        <v>1891</v>
      </c>
      <c r="B672" s="58" t="s">
        <v>1892</v>
      </c>
      <c r="C672" s="58" t="s">
        <v>1893</v>
      </c>
    </row>
    <row r="673" spans="1:3">
      <c r="A673" s="58" t="s">
        <v>1894</v>
      </c>
      <c r="B673" s="58" t="s">
        <v>1895</v>
      </c>
      <c r="C673" s="58" t="s">
        <v>1896</v>
      </c>
    </row>
    <row r="674" spans="1:3">
      <c r="A674" s="58" t="s">
        <v>1897</v>
      </c>
      <c r="B674" s="58" t="s">
        <v>1898</v>
      </c>
      <c r="C674" s="58" t="s">
        <v>1899</v>
      </c>
    </row>
    <row r="675" spans="1:3">
      <c r="A675" s="58" t="s">
        <v>1900</v>
      </c>
      <c r="B675" s="58" t="s">
        <v>1901</v>
      </c>
      <c r="C675" s="58" t="s">
        <v>1902</v>
      </c>
    </row>
    <row r="676" spans="1:3">
      <c r="A676" s="58" t="s">
        <v>1903</v>
      </c>
      <c r="B676" s="58" t="s">
        <v>1904</v>
      </c>
      <c r="C676" s="58" t="s">
        <v>1905</v>
      </c>
    </row>
    <row r="677" spans="1:3">
      <c r="A677" s="58" t="s">
        <v>1906</v>
      </c>
      <c r="B677" s="58" t="s">
        <v>1907</v>
      </c>
      <c r="C677" s="58" t="s">
        <v>1908</v>
      </c>
    </row>
    <row r="678" spans="1:3">
      <c r="A678" s="58" t="s">
        <v>1909</v>
      </c>
      <c r="B678" s="58" t="s">
        <v>1910</v>
      </c>
      <c r="C678" s="58" t="s">
        <v>1911</v>
      </c>
    </row>
    <row r="679" spans="1:3">
      <c r="A679" s="58" t="s">
        <v>1912</v>
      </c>
      <c r="B679" s="58" t="s">
        <v>1913</v>
      </c>
      <c r="C679" s="58" t="s">
        <v>1914</v>
      </c>
    </row>
    <row r="680" spans="1:3">
      <c r="A680" s="58" t="s">
        <v>1915</v>
      </c>
      <c r="B680" s="58" t="s">
        <v>1916</v>
      </c>
      <c r="C680" s="58" t="s">
        <v>1917</v>
      </c>
    </row>
    <row r="681" spans="1:3">
      <c r="A681" s="58" t="s">
        <v>1918</v>
      </c>
      <c r="B681" s="58" t="s">
        <v>1916</v>
      </c>
      <c r="C681" s="58" t="s">
        <v>1919</v>
      </c>
    </row>
    <row r="682" spans="1:3">
      <c r="A682" s="58" t="s">
        <v>1920</v>
      </c>
      <c r="B682" s="58" t="s">
        <v>1921</v>
      </c>
      <c r="C682" s="58" t="s">
        <v>1922</v>
      </c>
    </row>
    <row r="683" spans="1:3">
      <c r="A683" s="58" t="s">
        <v>1923</v>
      </c>
      <c r="B683" s="58" t="s">
        <v>1921</v>
      </c>
      <c r="C683" s="58" t="s">
        <v>1922</v>
      </c>
    </row>
    <row r="684" spans="1:3">
      <c r="A684" s="58" t="s">
        <v>1924</v>
      </c>
      <c r="B684" s="58" t="s">
        <v>1925</v>
      </c>
      <c r="C684" s="58" t="s">
        <v>1926</v>
      </c>
    </row>
    <row r="685" spans="1:3">
      <c r="A685" s="58" t="s">
        <v>1927</v>
      </c>
      <c r="B685" s="58" t="s">
        <v>1928</v>
      </c>
      <c r="C685" s="58" t="s">
        <v>1929</v>
      </c>
    </row>
    <row r="686" spans="1:3">
      <c r="A686" s="58" t="s">
        <v>1930</v>
      </c>
      <c r="B686" s="58" t="s">
        <v>1931</v>
      </c>
      <c r="C686" s="58" t="s">
        <v>1932</v>
      </c>
    </row>
    <row r="687" spans="1:3">
      <c r="A687" s="58" t="s">
        <v>1933</v>
      </c>
      <c r="B687" s="58" t="s">
        <v>1934</v>
      </c>
      <c r="C687" s="58" t="s">
        <v>1935</v>
      </c>
    </row>
    <row r="688" spans="1:3">
      <c r="A688" s="58" t="s">
        <v>1936</v>
      </c>
      <c r="B688" s="58" t="s">
        <v>1937</v>
      </c>
      <c r="C688" s="58" t="s">
        <v>1938</v>
      </c>
    </row>
    <row r="689" spans="1:3">
      <c r="A689" s="58" t="s">
        <v>1939</v>
      </c>
      <c r="B689" s="58" t="s">
        <v>1940</v>
      </c>
      <c r="C689" s="58" t="s">
        <v>1941</v>
      </c>
    </row>
    <row r="690" spans="1:3">
      <c r="A690" s="58" t="s">
        <v>1942</v>
      </c>
      <c r="B690" s="58" t="s">
        <v>1943</v>
      </c>
      <c r="C690" s="58" t="s">
        <v>1944</v>
      </c>
    </row>
    <row r="691" spans="1:3">
      <c r="A691" s="58" t="s">
        <v>1945</v>
      </c>
      <c r="B691" s="58" t="s">
        <v>1946</v>
      </c>
      <c r="C691" s="58" t="s">
        <v>1947</v>
      </c>
    </row>
    <row r="692" spans="1:3">
      <c r="A692" s="58" t="s">
        <v>1948</v>
      </c>
      <c r="B692" s="58" t="s">
        <v>1949</v>
      </c>
      <c r="C692" s="58" t="s">
        <v>1950</v>
      </c>
    </row>
    <row r="693" spans="1:3">
      <c r="A693" s="58" t="s">
        <v>1951</v>
      </c>
      <c r="B693" s="58" t="s">
        <v>1952</v>
      </c>
      <c r="C693" s="58" t="s">
        <v>1953</v>
      </c>
    </row>
    <row r="694" spans="1:3">
      <c r="A694" s="58" t="s">
        <v>1954</v>
      </c>
      <c r="B694" s="58" t="s">
        <v>1952</v>
      </c>
      <c r="C694" s="58" t="s">
        <v>1953</v>
      </c>
    </row>
    <row r="695" spans="1:3">
      <c r="A695" s="58" t="s">
        <v>1955</v>
      </c>
      <c r="B695" s="58" t="s">
        <v>1956</v>
      </c>
      <c r="C695" s="58" t="s">
        <v>1957</v>
      </c>
    </row>
    <row r="696" spans="1:3">
      <c r="A696" s="58" t="s">
        <v>1958</v>
      </c>
      <c r="B696" s="58" t="s">
        <v>1959</v>
      </c>
      <c r="C696" s="58" t="s">
        <v>1960</v>
      </c>
    </row>
    <row r="697" spans="1:3">
      <c r="A697" s="58" t="s">
        <v>1961</v>
      </c>
      <c r="B697" s="58" t="s">
        <v>1962</v>
      </c>
      <c r="C697" s="58" t="s">
        <v>1963</v>
      </c>
    </row>
    <row r="698" spans="1:3">
      <c r="A698" s="58" t="s">
        <v>1964</v>
      </c>
      <c r="B698" s="58" t="s">
        <v>1965</v>
      </c>
      <c r="C698" s="58" t="s">
        <v>1966</v>
      </c>
    </row>
    <row r="699" spans="1:3">
      <c r="A699" s="58" t="s">
        <v>1967</v>
      </c>
      <c r="B699" s="58" t="s">
        <v>1968</v>
      </c>
      <c r="C699" s="58" t="s">
        <v>1969</v>
      </c>
    </row>
    <row r="700" spans="1:3">
      <c r="A700" s="58" t="s">
        <v>1970</v>
      </c>
      <c r="B700" s="58" t="s">
        <v>1971</v>
      </c>
      <c r="C700" s="58" t="s">
        <v>1972</v>
      </c>
    </row>
    <row r="701" spans="1:3">
      <c r="A701" s="58" t="s">
        <v>1973</v>
      </c>
      <c r="B701" s="58" t="s">
        <v>1974</v>
      </c>
      <c r="C701" s="58" t="s">
        <v>1975</v>
      </c>
    </row>
    <row r="702" spans="1:3">
      <c r="A702" s="58" t="s">
        <v>1976</v>
      </c>
      <c r="B702" s="58" t="s">
        <v>1977</v>
      </c>
      <c r="C702" s="58" t="s">
        <v>1978</v>
      </c>
    </row>
    <row r="703" spans="1:3">
      <c r="A703" s="58" t="s">
        <v>1979</v>
      </c>
      <c r="B703" s="58" t="s">
        <v>1977</v>
      </c>
      <c r="C703" s="58" t="s">
        <v>1978</v>
      </c>
    </row>
    <row r="704" spans="1:3">
      <c r="A704" s="58" t="s">
        <v>1980</v>
      </c>
      <c r="B704" s="58" t="s">
        <v>1981</v>
      </c>
      <c r="C704" s="58" t="s">
        <v>1982</v>
      </c>
    </row>
    <row r="705" spans="1:3">
      <c r="A705" s="58" t="s">
        <v>1983</v>
      </c>
      <c r="B705" s="58" t="s">
        <v>1984</v>
      </c>
      <c r="C705" s="58" t="s">
        <v>1985</v>
      </c>
    </row>
    <row r="706" spans="1:3">
      <c r="A706" s="58" t="s">
        <v>1986</v>
      </c>
      <c r="B706" s="58" t="s">
        <v>1987</v>
      </c>
      <c r="C706" s="58" t="s">
        <v>1988</v>
      </c>
    </row>
    <row r="707" spans="1:3">
      <c r="A707" s="58" t="s">
        <v>1989</v>
      </c>
      <c r="B707" s="58" t="s">
        <v>1990</v>
      </c>
      <c r="C707" s="58" t="s">
        <v>1991</v>
      </c>
    </row>
    <row r="708" spans="1:3">
      <c r="A708" s="58" t="s">
        <v>1992</v>
      </c>
      <c r="B708" s="58" t="s">
        <v>1993</v>
      </c>
      <c r="C708" s="58" t="s">
        <v>1994</v>
      </c>
    </row>
    <row r="709" spans="1:3">
      <c r="A709" s="58" t="s">
        <v>1995</v>
      </c>
      <c r="B709" s="58" t="s">
        <v>1996</v>
      </c>
      <c r="C709" s="58" t="s">
        <v>1997</v>
      </c>
    </row>
    <row r="710" spans="1:3">
      <c r="A710" s="58" t="s">
        <v>1998</v>
      </c>
      <c r="B710" s="58" t="s">
        <v>1999</v>
      </c>
      <c r="C710" s="58" t="s">
        <v>2000</v>
      </c>
    </row>
    <row r="711" spans="1:3">
      <c r="A711" s="58" t="s">
        <v>2001</v>
      </c>
      <c r="B711" s="58" t="s">
        <v>2002</v>
      </c>
      <c r="C711" s="58" t="s">
        <v>2003</v>
      </c>
    </row>
    <row r="712" spans="1:3">
      <c r="A712" s="58" t="s">
        <v>2004</v>
      </c>
      <c r="B712" s="58" t="s">
        <v>2005</v>
      </c>
      <c r="C712" s="58" t="s">
        <v>2006</v>
      </c>
    </row>
    <row r="713" spans="1:3">
      <c r="A713" s="58" t="s">
        <v>2007</v>
      </c>
      <c r="B713" s="58" t="s">
        <v>2008</v>
      </c>
      <c r="C713" s="58" t="s">
        <v>2009</v>
      </c>
    </row>
    <row r="714" spans="1:3">
      <c r="A714" s="58" t="s">
        <v>2010</v>
      </c>
      <c r="B714" s="58" t="s">
        <v>2011</v>
      </c>
      <c r="C714" s="58" t="s">
        <v>2012</v>
      </c>
    </row>
    <row r="715" spans="1:3">
      <c r="A715" s="58" t="s">
        <v>2013</v>
      </c>
      <c r="B715" s="58" t="s">
        <v>2014</v>
      </c>
      <c r="C715" s="58" t="s">
        <v>2015</v>
      </c>
    </row>
    <row r="716" spans="1:3">
      <c r="A716" s="58" t="s">
        <v>2016</v>
      </c>
      <c r="B716" s="58" t="s">
        <v>2017</v>
      </c>
      <c r="C716" s="58" t="s">
        <v>2018</v>
      </c>
    </row>
    <row r="717" spans="1:3">
      <c r="A717" s="58" t="s">
        <v>2019</v>
      </c>
      <c r="B717" s="58" t="s">
        <v>2017</v>
      </c>
      <c r="C717" s="58" t="s">
        <v>2018</v>
      </c>
    </row>
    <row r="718" spans="1:3">
      <c r="A718" s="58" t="s">
        <v>2020</v>
      </c>
      <c r="B718" s="58" t="s">
        <v>2021</v>
      </c>
      <c r="C718" s="58" t="s">
        <v>2022</v>
      </c>
    </row>
    <row r="719" spans="1:3">
      <c r="A719" s="58" t="s">
        <v>2023</v>
      </c>
      <c r="B719" s="58" t="s">
        <v>2024</v>
      </c>
      <c r="C719" s="58" t="s">
        <v>2025</v>
      </c>
    </row>
    <row r="720" spans="1:3">
      <c r="A720" s="58" t="s">
        <v>2026</v>
      </c>
      <c r="B720" s="58" t="s">
        <v>2027</v>
      </c>
      <c r="C720" s="58" t="s">
        <v>2028</v>
      </c>
    </row>
    <row r="721" spans="1:3">
      <c r="A721" s="58" t="s">
        <v>2029</v>
      </c>
      <c r="B721" s="58" t="s">
        <v>2030</v>
      </c>
      <c r="C721" s="58" t="s">
        <v>2031</v>
      </c>
    </row>
    <row r="722" spans="1:3">
      <c r="A722" s="58" t="s">
        <v>2032</v>
      </c>
      <c r="B722" s="58" t="s">
        <v>2033</v>
      </c>
      <c r="C722" s="58" t="s">
        <v>2034</v>
      </c>
    </row>
    <row r="723" spans="1:3">
      <c r="A723" s="58" t="s">
        <v>2035</v>
      </c>
      <c r="B723" s="58" t="s">
        <v>2036</v>
      </c>
      <c r="C723" s="58" t="s">
        <v>2037</v>
      </c>
    </row>
    <row r="724" spans="1:3">
      <c r="A724" s="58" t="s">
        <v>2038</v>
      </c>
      <c r="B724" s="58" t="s">
        <v>2039</v>
      </c>
      <c r="C724" s="58" t="s">
        <v>2040</v>
      </c>
    </row>
    <row r="725" spans="1:3">
      <c r="A725" s="58" t="s">
        <v>2041</v>
      </c>
      <c r="B725" s="58" t="s">
        <v>2042</v>
      </c>
      <c r="C725" s="58" t="s">
        <v>2043</v>
      </c>
    </row>
    <row r="726" spans="1:3">
      <c r="A726" s="58" t="s">
        <v>2044</v>
      </c>
      <c r="B726" s="58" t="s">
        <v>2045</v>
      </c>
      <c r="C726" s="58" t="s">
        <v>2046</v>
      </c>
    </row>
    <row r="727" spans="1:3">
      <c r="A727" s="58" t="s">
        <v>2047</v>
      </c>
      <c r="B727" s="58" t="s">
        <v>2045</v>
      </c>
      <c r="C727" s="58" t="s">
        <v>2046</v>
      </c>
    </row>
    <row r="728" spans="1:3">
      <c r="A728" s="58" t="s">
        <v>2048</v>
      </c>
      <c r="B728" s="58" t="s">
        <v>2049</v>
      </c>
      <c r="C728" s="58" t="s">
        <v>2050</v>
      </c>
    </row>
    <row r="729" spans="1:3">
      <c r="A729" s="58" t="s">
        <v>2051</v>
      </c>
      <c r="B729" s="58" t="s">
        <v>2052</v>
      </c>
      <c r="C729" s="58" t="s">
        <v>2053</v>
      </c>
    </row>
    <row r="730" spans="1:3">
      <c r="A730" s="58" t="s">
        <v>2054</v>
      </c>
      <c r="B730" s="58" t="s">
        <v>2055</v>
      </c>
      <c r="C730" s="58" t="s">
        <v>2056</v>
      </c>
    </row>
    <row r="731" spans="1:3">
      <c r="A731" s="58" t="s">
        <v>2057</v>
      </c>
      <c r="B731" s="58" t="s">
        <v>2058</v>
      </c>
      <c r="C731" s="58" t="s">
        <v>2059</v>
      </c>
    </row>
    <row r="732" spans="1:3">
      <c r="A732" s="58" t="s">
        <v>2060</v>
      </c>
      <c r="B732" s="58" t="s">
        <v>2061</v>
      </c>
      <c r="C732" s="58" t="s">
        <v>2062</v>
      </c>
    </row>
    <row r="733" spans="1:3">
      <c r="A733" s="58" t="s">
        <v>2063</v>
      </c>
      <c r="B733" s="58" t="s">
        <v>2064</v>
      </c>
      <c r="C733" s="58" t="s">
        <v>2065</v>
      </c>
    </row>
    <row r="734" spans="1:3">
      <c r="A734" s="58" t="s">
        <v>2066</v>
      </c>
      <c r="B734" s="58" t="s">
        <v>2067</v>
      </c>
      <c r="C734" s="58" t="s">
        <v>2065</v>
      </c>
    </row>
    <row r="735" spans="1:3">
      <c r="A735" s="58" t="s">
        <v>2068</v>
      </c>
      <c r="B735" s="58" t="s">
        <v>2069</v>
      </c>
      <c r="C735" s="58" t="s">
        <v>2070</v>
      </c>
    </row>
    <row r="736" spans="1:3">
      <c r="A736" s="58" t="s">
        <v>2071</v>
      </c>
      <c r="B736" s="58" t="s">
        <v>2072</v>
      </c>
      <c r="C736" s="58" t="s">
        <v>2073</v>
      </c>
    </row>
    <row r="737" spans="1:3">
      <c r="A737" s="58" t="s">
        <v>2074</v>
      </c>
      <c r="B737" s="58" t="s">
        <v>2075</v>
      </c>
      <c r="C737" s="58" t="s">
        <v>2076</v>
      </c>
    </row>
    <row r="738" spans="1:3">
      <c r="A738" s="58" t="s">
        <v>2077</v>
      </c>
      <c r="B738" s="58" t="s">
        <v>2078</v>
      </c>
      <c r="C738" s="58" t="s">
        <v>2079</v>
      </c>
    </row>
    <row r="739" spans="1:3">
      <c r="A739" s="58" t="s">
        <v>2080</v>
      </c>
      <c r="B739" s="58" t="s">
        <v>2078</v>
      </c>
      <c r="C739" s="58" t="s">
        <v>2079</v>
      </c>
    </row>
    <row r="740" spans="1:3">
      <c r="A740" s="58" t="s">
        <v>2081</v>
      </c>
      <c r="B740" s="58" t="s">
        <v>2082</v>
      </c>
      <c r="C740" s="58" t="s">
        <v>2083</v>
      </c>
    </row>
    <row r="741" spans="1:3">
      <c r="A741" s="58" t="s">
        <v>2084</v>
      </c>
      <c r="B741" s="58" t="s">
        <v>2085</v>
      </c>
      <c r="C741" s="58" t="s">
        <v>2086</v>
      </c>
    </row>
    <row r="742" spans="1:3">
      <c r="A742" s="58" t="s">
        <v>2087</v>
      </c>
      <c r="B742" s="58" t="s">
        <v>2088</v>
      </c>
      <c r="C742" s="58" t="s">
        <v>2089</v>
      </c>
    </row>
    <row r="743" spans="1:3">
      <c r="A743" s="58" t="s">
        <v>2090</v>
      </c>
      <c r="B743" s="58" t="s">
        <v>2091</v>
      </c>
      <c r="C743" s="58" t="s">
        <v>2092</v>
      </c>
    </row>
    <row r="744" spans="1:3">
      <c r="A744" s="58" t="s">
        <v>2093</v>
      </c>
      <c r="B744" s="58" t="s">
        <v>2094</v>
      </c>
      <c r="C744" s="58" t="s">
        <v>2095</v>
      </c>
    </row>
    <row r="745" spans="1:3">
      <c r="A745" s="58" t="s">
        <v>2096</v>
      </c>
      <c r="B745" s="58" t="s">
        <v>2097</v>
      </c>
      <c r="C745" s="58" t="s">
        <v>2098</v>
      </c>
    </row>
    <row r="746" spans="1:3">
      <c r="A746" s="58" t="s">
        <v>2099</v>
      </c>
      <c r="B746" s="58" t="s">
        <v>2100</v>
      </c>
      <c r="C746" s="58" t="s">
        <v>2101</v>
      </c>
    </row>
    <row r="747" spans="1:3">
      <c r="A747" s="58" t="s">
        <v>2102</v>
      </c>
      <c r="B747" s="58" t="s">
        <v>2100</v>
      </c>
      <c r="C747" s="58" t="s">
        <v>2101</v>
      </c>
    </row>
    <row r="748" spans="1:3">
      <c r="A748" s="58" t="s">
        <v>2103</v>
      </c>
      <c r="B748" s="58" t="s">
        <v>2104</v>
      </c>
      <c r="C748" s="58" t="s">
        <v>2105</v>
      </c>
    </row>
    <row r="749" spans="1:3">
      <c r="A749" s="58" t="s">
        <v>2106</v>
      </c>
      <c r="B749" s="58" t="s">
        <v>2107</v>
      </c>
      <c r="C749" s="58" t="s">
        <v>2108</v>
      </c>
    </row>
    <row r="750" spans="1:3">
      <c r="A750" s="58" t="s">
        <v>2109</v>
      </c>
      <c r="B750" s="58" t="s">
        <v>2110</v>
      </c>
      <c r="C750" s="58" t="s">
        <v>2111</v>
      </c>
    </row>
    <row r="751" spans="1:3">
      <c r="A751" s="58" t="s">
        <v>2112</v>
      </c>
      <c r="B751" s="58" t="s">
        <v>2113</v>
      </c>
      <c r="C751" s="58" t="s">
        <v>2114</v>
      </c>
    </row>
    <row r="752" spans="1:3">
      <c r="A752" s="58" t="s">
        <v>2115</v>
      </c>
      <c r="B752" s="58" t="s">
        <v>2116</v>
      </c>
      <c r="C752" s="58" t="s">
        <v>2117</v>
      </c>
    </row>
    <row r="753" spans="1:3">
      <c r="A753" s="58" t="s">
        <v>2118</v>
      </c>
      <c r="B753" s="58" t="s">
        <v>2119</v>
      </c>
      <c r="C753" s="58" t="s">
        <v>2120</v>
      </c>
    </row>
    <row r="754" spans="1:3">
      <c r="A754" s="58" t="s">
        <v>2121</v>
      </c>
      <c r="B754" s="58" t="s">
        <v>2122</v>
      </c>
      <c r="C754" s="58" t="s">
        <v>2123</v>
      </c>
    </row>
    <row r="755" spans="1:3">
      <c r="A755" s="58" t="s">
        <v>2124</v>
      </c>
      <c r="B755" s="58" t="s">
        <v>2125</v>
      </c>
      <c r="C755" s="58" t="s">
        <v>2126</v>
      </c>
    </row>
    <row r="756" spans="1:3">
      <c r="A756" s="58" t="s">
        <v>2127</v>
      </c>
      <c r="B756" s="58" t="s">
        <v>2128</v>
      </c>
      <c r="C756" s="58" t="s">
        <v>2129</v>
      </c>
    </row>
    <row r="757" spans="1:3">
      <c r="A757" s="58" t="s">
        <v>2130</v>
      </c>
      <c r="B757" s="58" t="s">
        <v>2128</v>
      </c>
      <c r="C757" s="58" t="s">
        <v>2129</v>
      </c>
    </row>
    <row r="758" spans="1:3">
      <c r="A758" s="58" t="s">
        <v>2131</v>
      </c>
      <c r="B758" s="58" t="s">
        <v>2132</v>
      </c>
      <c r="C758" s="58" t="s">
        <v>2133</v>
      </c>
    </row>
    <row r="759" spans="1:3">
      <c r="A759" s="58" t="s">
        <v>2134</v>
      </c>
      <c r="B759" s="58" t="s">
        <v>2135</v>
      </c>
      <c r="C759" s="58" t="s">
        <v>2136</v>
      </c>
    </row>
    <row r="760" spans="1:3">
      <c r="A760" s="58" t="s">
        <v>2137</v>
      </c>
      <c r="B760" s="58" t="s">
        <v>2138</v>
      </c>
      <c r="C760" s="58" t="s">
        <v>2139</v>
      </c>
    </row>
    <row r="761" spans="1:3">
      <c r="A761" s="58" t="s">
        <v>2140</v>
      </c>
      <c r="B761" s="58" t="s">
        <v>2141</v>
      </c>
      <c r="C761" s="58" t="s">
        <v>2142</v>
      </c>
    </row>
    <row r="762" spans="1:3">
      <c r="A762" s="58" t="s">
        <v>2143</v>
      </c>
      <c r="B762" s="58" t="s">
        <v>2141</v>
      </c>
      <c r="C762" s="58" t="s">
        <v>2142</v>
      </c>
    </row>
    <row r="763" spans="1:3">
      <c r="A763" s="58" t="s">
        <v>2144</v>
      </c>
      <c r="B763" s="58" t="s">
        <v>2145</v>
      </c>
      <c r="C763" s="58" t="s">
        <v>2146</v>
      </c>
    </row>
    <row r="764" spans="1:3">
      <c r="A764" s="58" t="s">
        <v>2147</v>
      </c>
      <c r="B764" s="58" t="s">
        <v>2148</v>
      </c>
      <c r="C764" s="58" t="s">
        <v>2149</v>
      </c>
    </row>
    <row r="765" spans="1:3">
      <c r="A765" s="58" t="s">
        <v>2150</v>
      </c>
      <c r="B765" s="58" t="s">
        <v>2151</v>
      </c>
      <c r="C765" s="58" t="s">
        <v>2152</v>
      </c>
    </row>
    <row r="766" spans="1:3">
      <c r="A766" s="58" t="s">
        <v>2153</v>
      </c>
      <c r="B766" s="58" t="s">
        <v>2154</v>
      </c>
      <c r="C766" s="58" t="s">
        <v>2155</v>
      </c>
    </row>
    <row r="767" spans="1:3">
      <c r="A767" s="58" t="s">
        <v>2156</v>
      </c>
      <c r="B767" s="58" t="s">
        <v>2157</v>
      </c>
      <c r="C767" s="58" t="s">
        <v>2158</v>
      </c>
    </row>
    <row r="768" spans="1:3">
      <c r="A768" s="58" t="s">
        <v>2159</v>
      </c>
      <c r="B768" s="58" t="s">
        <v>2157</v>
      </c>
      <c r="C768" s="58" t="s">
        <v>2158</v>
      </c>
    </row>
    <row r="769" spans="1:3">
      <c r="A769" s="58" t="s">
        <v>2160</v>
      </c>
      <c r="B769" s="58" t="s">
        <v>2161</v>
      </c>
      <c r="C769" s="58" t="s">
        <v>2162</v>
      </c>
    </row>
    <row r="770" spans="1:3">
      <c r="A770" s="58" t="s">
        <v>2163</v>
      </c>
      <c r="B770" s="58" t="s">
        <v>2161</v>
      </c>
      <c r="C770" s="58" t="s">
        <v>2162</v>
      </c>
    </row>
    <row r="771" spans="1:3">
      <c r="A771" s="58" t="s">
        <v>2164</v>
      </c>
      <c r="B771" s="58" t="s">
        <v>2165</v>
      </c>
      <c r="C771" s="58" t="s">
        <v>2166</v>
      </c>
    </row>
    <row r="772" spans="1:3">
      <c r="A772" s="58" t="s">
        <v>2167</v>
      </c>
      <c r="B772" s="58" t="s">
        <v>2168</v>
      </c>
      <c r="C772" s="58" t="s">
        <v>2169</v>
      </c>
    </row>
    <row r="773" spans="1:3">
      <c r="A773" s="58" t="s">
        <v>2170</v>
      </c>
      <c r="B773" s="58" t="s">
        <v>2171</v>
      </c>
      <c r="C773" s="58" t="s">
        <v>2172</v>
      </c>
    </row>
    <row r="774" spans="1:3">
      <c r="A774" s="58" t="s">
        <v>2173</v>
      </c>
      <c r="B774" s="58" t="s">
        <v>2174</v>
      </c>
      <c r="C774" s="58" t="s">
        <v>2175</v>
      </c>
    </row>
    <row r="775" spans="1:3">
      <c r="A775" s="58" t="s">
        <v>2176</v>
      </c>
      <c r="B775" s="58" t="s">
        <v>2177</v>
      </c>
      <c r="C775" s="58" t="s">
        <v>2178</v>
      </c>
    </row>
    <row r="776" spans="1:3">
      <c r="A776" s="58" t="s">
        <v>2179</v>
      </c>
      <c r="B776" s="58" t="s">
        <v>2180</v>
      </c>
      <c r="C776" s="58" t="s">
        <v>2181</v>
      </c>
    </row>
    <row r="777" spans="1:3">
      <c r="A777" s="58" t="s">
        <v>2182</v>
      </c>
      <c r="B777" s="58" t="s">
        <v>2183</v>
      </c>
      <c r="C777" s="58" t="s">
        <v>2184</v>
      </c>
    </row>
    <row r="778" spans="1:3">
      <c r="A778" s="58" t="s">
        <v>2185</v>
      </c>
      <c r="B778" s="58" t="s">
        <v>2186</v>
      </c>
      <c r="C778" s="58" t="s">
        <v>2187</v>
      </c>
    </row>
    <row r="779" spans="1:3">
      <c r="A779" s="58" t="s">
        <v>2188</v>
      </c>
      <c r="B779" s="58" t="s">
        <v>2189</v>
      </c>
      <c r="C779" s="58" t="s">
        <v>2190</v>
      </c>
    </row>
    <row r="780" spans="1:3">
      <c r="A780" s="58" t="s">
        <v>2191</v>
      </c>
      <c r="B780" s="58" t="s">
        <v>2192</v>
      </c>
      <c r="C780" s="58" t="s">
        <v>2193</v>
      </c>
    </row>
    <row r="781" spans="1:3">
      <c r="A781" s="58" t="s">
        <v>2194</v>
      </c>
      <c r="B781" s="58" t="s">
        <v>2195</v>
      </c>
      <c r="C781" s="58" t="s">
        <v>2196</v>
      </c>
    </row>
    <row r="782" spans="1:3">
      <c r="A782" s="58" t="s">
        <v>2197</v>
      </c>
      <c r="B782" s="58" t="s">
        <v>2198</v>
      </c>
      <c r="C782" s="58" t="s">
        <v>2199</v>
      </c>
    </row>
    <row r="783" spans="1:3">
      <c r="A783" s="58" t="s">
        <v>2200</v>
      </c>
      <c r="B783" s="58" t="s">
        <v>2201</v>
      </c>
      <c r="C783" s="58" t="s">
        <v>2202</v>
      </c>
    </row>
    <row r="784" spans="1:3">
      <c r="A784" s="58" t="s">
        <v>2203</v>
      </c>
      <c r="B784" s="58" t="s">
        <v>2201</v>
      </c>
      <c r="C784" s="58" t="s">
        <v>2202</v>
      </c>
    </row>
    <row r="785" spans="1:3">
      <c r="A785" s="58" t="s">
        <v>2204</v>
      </c>
      <c r="B785" s="58" t="s">
        <v>2205</v>
      </c>
      <c r="C785" s="58" t="s">
        <v>2206</v>
      </c>
    </row>
    <row r="786" spans="1:3">
      <c r="A786" s="58" t="s">
        <v>2207</v>
      </c>
      <c r="B786" s="58" t="s">
        <v>2205</v>
      </c>
      <c r="C786" s="58" t="s">
        <v>2206</v>
      </c>
    </row>
    <row r="787" spans="1:3">
      <c r="A787" s="58" t="s">
        <v>2208</v>
      </c>
      <c r="B787" s="58" t="s">
        <v>2209</v>
      </c>
      <c r="C787" s="58" t="s">
        <v>2210</v>
      </c>
    </row>
    <row r="788" spans="1:3">
      <c r="A788" s="58" t="s">
        <v>2211</v>
      </c>
      <c r="B788" s="58" t="s">
        <v>2212</v>
      </c>
      <c r="C788" s="58" t="s">
        <v>2213</v>
      </c>
    </row>
    <row r="789" spans="1:3">
      <c r="A789" s="58" t="s">
        <v>2214</v>
      </c>
      <c r="B789" s="58" t="s">
        <v>2215</v>
      </c>
      <c r="C789" s="58" t="s">
        <v>2216</v>
      </c>
    </row>
    <row r="790" spans="1:3">
      <c r="A790" s="58" t="s">
        <v>2217</v>
      </c>
      <c r="B790" s="58" t="s">
        <v>2218</v>
      </c>
      <c r="C790" s="58" t="s">
        <v>2219</v>
      </c>
    </row>
    <row r="791" spans="1:3">
      <c r="A791" s="58" t="s">
        <v>2220</v>
      </c>
      <c r="B791" s="58" t="s">
        <v>2218</v>
      </c>
      <c r="C791" s="58" t="s">
        <v>2219</v>
      </c>
    </row>
    <row r="792" spans="1:3">
      <c r="A792" s="58" t="s">
        <v>2221</v>
      </c>
      <c r="B792" s="58" t="s">
        <v>2222</v>
      </c>
      <c r="C792" s="58" t="s">
        <v>2223</v>
      </c>
    </row>
    <row r="793" spans="1:3">
      <c r="A793" s="58" t="s">
        <v>2224</v>
      </c>
      <c r="B793" s="58" t="s">
        <v>2225</v>
      </c>
      <c r="C793" s="58" t="s">
        <v>2226</v>
      </c>
    </row>
    <row r="794" spans="1:3">
      <c r="A794" s="58" t="s">
        <v>2227</v>
      </c>
      <c r="B794" s="58" t="s">
        <v>2228</v>
      </c>
      <c r="C794" s="58" t="s">
        <v>2229</v>
      </c>
    </row>
    <row r="795" spans="1:3">
      <c r="A795" s="58" t="s">
        <v>2230</v>
      </c>
      <c r="B795" s="58" t="s">
        <v>2231</v>
      </c>
      <c r="C795" s="58" t="s">
        <v>2178</v>
      </c>
    </row>
    <row r="796" spans="1:3">
      <c r="A796" s="58" t="s">
        <v>2232</v>
      </c>
      <c r="B796" s="58" t="s">
        <v>2233</v>
      </c>
      <c r="C796" s="58" t="s">
        <v>2234</v>
      </c>
    </row>
    <row r="797" spans="1:3">
      <c r="A797" s="58" t="s">
        <v>2235</v>
      </c>
      <c r="B797" s="58" t="s">
        <v>2233</v>
      </c>
      <c r="C797" s="58" t="s">
        <v>2234</v>
      </c>
    </row>
    <row r="798" spans="1:3">
      <c r="A798" s="58" t="s">
        <v>2236</v>
      </c>
      <c r="B798" s="58" t="s">
        <v>2237</v>
      </c>
      <c r="C798" s="58" t="s">
        <v>2238</v>
      </c>
    </row>
    <row r="799" spans="1:3">
      <c r="A799" s="58" t="s">
        <v>2239</v>
      </c>
      <c r="B799" s="58" t="s">
        <v>2237</v>
      </c>
      <c r="C799" s="58" t="s">
        <v>2238</v>
      </c>
    </row>
    <row r="800" spans="1:3">
      <c r="A800" s="58" t="s">
        <v>2240</v>
      </c>
      <c r="B800" s="58" t="s">
        <v>2241</v>
      </c>
      <c r="C800" s="58" t="s">
        <v>2242</v>
      </c>
    </row>
    <row r="801" spans="1:3">
      <c r="A801" s="58" t="s">
        <v>2243</v>
      </c>
      <c r="B801" s="58" t="s">
        <v>2244</v>
      </c>
      <c r="C801" s="58" t="s">
        <v>2245</v>
      </c>
    </row>
    <row r="802" spans="1:3">
      <c r="A802" s="58" t="s">
        <v>2246</v>
      </c>
      <c r="B802" s="58" t="s">
        <v>2247</v>
      </c>
      <c r="C802" s="58" t="s">
        <v>2242</v>
      </c>
    </row>
    <row r="803" spans="1:3">
      <c r="A803" s="58" t="s">
        <v>2248</v>
      </c>
      <c r="B803" s="58" t="s">
        <v>2249</v>
      </c>
      <c r="C803" s="58" t="s">
        <v>2250</v>
      </c>
    </row>
    <row r="804" spans="1:3">
      <c r="A804" s="58" t="s">
        <v>2251</v>
      </c>
      <c r="B804" s="58" t="s">
        <v>2249</v>
      </c>
      <c r="C804" s="58" t="s">
        <v>2250</v>
      </c>
    </row>
    <row r="805" spans="1:3">
      <c r="A805" s="58" t="s">
        <v>2252</v>
      </c>
      <c r="B805" s="58" t="s">
        <v>2253</v>
      </c>
      <c r="C805" s="58" t="s">
        <v>2254</v>
      </c>
    </row>
    <row r="806" spans="1:3">
      <c r="A806" s="58" t="s">
        <v>2255</v>
      </c>
      <c r="B806" s="58" t="s">
        <v>2256</v>
      </c>
      <c r="C806" s="58" t="s">
        <v>2257</v>
      </c>
    </row>
    <row r="807" spans="1:3">
      <c r="A807" s="58" t="s">
        <v>2258</v>
      </c>
      <c r="B807" s="58" t="s">
        <v>2259</v>
      </c>
      <c r="C807" s="58" t="s">
        <v>2260</v>
      </c>
    </row>
    <row r="808" spans="1:3">
      <c r="A808" s="58" t="s">
        <v>2261</v>
      </c>
      <c r="B808" s="58" t="s">
        <v>2262</v>
      </c>
      <c r="C808" s="58" t="s">
        <v>2263</v>
      </c>
    </row>
    <row r="809" spans="1:3">
      <c r="A809" s="58" t="s">
        <v>2264</v>
      </c>
      <c r="B809" s="58" t="s">
        <v>2265</v>
      </c>
      <c r="C809" s="58" t="s">
        <v>2266</v>
      </c>
    </row>
    <row r="810" spans="1:3">
      <c r="A810" s="58" t="s">
        <v>2267</v>
      </c>
      <c r="B810" s="58" t="s">
        <v>2268</v>
      </c>
      <c r="C810" s="58" t="s">
        <v>2269</v>
      </c>
    </row>
    <row r="811" spans="1:3">
      <c r="A811" s="58" t="s">
        <v>2270</v>
      </c>
      <c r="B811" s="58" t="s">
        <v>2271</v>
      </c>
      <c r="C811" s="58" t="s">
        <v>2272</v>
      </c>
    </row>
    <row r="812" spans="1:3">
      <c r="A812" s="58" t="s">
        <v>2273</v>
      </c>
      <c r="B812" s="58" t="s">
        <v>2274</v>
      </c>
      <c r="C812" s="58" t="s">
        <v>2275</v>
      </c>
    </row>
    <row r="813" spans="1:3">
      <c r="A813" s="58" t="s">
        <v>2276</v>
      </c>
      <c r="B813" s="58" t="s">
        <v>2277</v>
      </c>
      <c r="C813" s="58" t="s">
        <v>2278</v>
      </c>
    </row>
    <row r="814" spans="1:3">
      <c r="A814" s="58" t="s">
        <v>2279</v>
      </c>
      <c r="B814" s="58" t="s">
        <v>2280</v>
      </c>
      <c r="C814" s="58" t="s">
        <v>2281</v>
      </c>
    </row>
    <row r="815" spans="1:3">
      <c r="A815" s="58" t="s">
        <v>2282</v>
      </c>
      <c r="B815" s="58" t="s">
        <v>2283</v>
      </c>
      <c r="C815" s="58" t="s">
        <v>2284</v>
      </c>
    </row>
    <row r="816" spans="1:3">
      <c r="A816" s="58" t="s">
        <v>2285</v>
      </c>
      <c r="B816" s="58" t="s">
        <v>2286</v>
      </c>
      <c r="C816" s="58" t="s">
        <v>2287</v>
      </c>
    </row>
    <row r="817" spans="1:3">
      <c r="A817" s="58" t="s">
        <v>2288</v>
      </c>
      <c r="B817" s="58" t="s">
        <v>2289</v>
      </c>
      <c r="C817" s="58" t="s">
        <v>2290</v>
      </c>
    </row>
    <row r="818" spans="1:3">
      <c r="A818" s="58" t="s">
        <v>2291</v>
      </c>
      <c r="B818" s="58" t="s">
        <v>2292</v>
      </c>
      <c r="C818" s="58" t="s">
        <v>2293</v>
      </c>
    </row>
    <row r="819" spans="1:3">
      <c r="A819" s="58" t="s">
        <v>2294</v>
      </c>
      <c r="B819" s="58" t="s">
        <v>2292</v>
      </c>
      <c r="C819" s="58" t="s">
        <v>2293</v>
      </c>
    </row>
    <row r="820" spans="1:3">
      <c r="A820" s="58" t="s">
        <v>2295</v>
      </c>
      <c r="B820" s="58" t="s">
        <v>2296</v>
      </c>
      <c r="C820" s="58" t="s">
        <v>2297</v>
      </c>
    </row>
    <row r="821" spans="1:3">
      <c r="A821" s="58" t="s">
        <v>2298</v>
      </c>
      <c r="B821" s="58" t="s">
        <v>2296</v>
      </c>
      <c r="C821" s="58" t="s">
        <v>2297</v>
      </c>
    </row>
    <row r="822" spans="1:3">
      <c r="A822" s="58" t="s">
        <v>2299</v>
      </c>
      <c r="B822" s="58" t="s">
        <v>2300</v>
      </c>
      <c r="C822" s="58" t="s">
        <v>2301</v>
      </c>
    </row>
    <row r="823" spans="1:3">
      <c r="A823" s="58" t="s">
        <v>2302</v>
      </c>
      <c r="B823" s="58" t="s">
        <v>2303</v>
      </c>
      <c r="C823" s="58" t="s">
        <v>2301</v>
      </c>
    </row>
    <row r="824" spans="1:3">
      <c r="A824" s="58" t="s">
        <v>2304</v>
      </c>
      <c r="B824" s="58" t="s">
        <v>2305</v>
      </c>
      <c r="C824" s="58" t="s">
        <v>2306</v>
      </c>
    </row>
    <row r="825" spans="1:3">
      <c r="A825" s="58" t="s">
        <v>2307</v>
      </c>
      <c r="B825" s="58" t="s">
        <v>2308</v>
      </c>
      <c r="C825" s="58" t="s">
        <v>2309</v>
      </c>
    </row>
    <row r="826" spans="1:3">
      <c r="A826" s="58" t="s">
        <v>2310</v>
      </c>
      <c r="B826" s="58" t="s">
        <v>2311</v>
      </c>
      <c r="C826" s="58" t="s">
        <v>2312</v>
      </c>
    </row>
    <row r="827" spans="1:3">
      <c r="A827" s="58" t="s">
        <v>2313</v>
      </c>
      <c r="B827" s="58" t="s">
        <v>2314</v>
      </c>
      <c r="C827" s="58" t="s">
        <v>2315</v>
      </c>
    </row>
    <row r="828" spans="1:3">
      <c r="A828" s="58" t="s">
        <v>2316</v>
      </c>
      <c r="B828" s="58" t="s">
        <v>2317</v>
      </c>
      <c r="C828" s="58" t="s">
        <v>2318</v>
      </c>
    </row>
    <row r="829" spans="1:3">
      <c r="A829" s="58" t="s">
        <v>2319</v>
      </c>
      <c r="B829" s="58" t="s">
        <v>2320</v>
      </c>
      <c r="C829" s="58" t="s">
        <v>2321</v>
      </c>
    </row>
    <row r="830" spans="1:3">
      <c r="A830" s="58" t="s">
        <v>2322</v>
      </c>
      <c r="B830" s="58" t="s">
        <v>2320</v>
      </c>
      <c r="C830" s="58" t="s">
        <v>2321</v>
      </c>
    </row>
    <row r="831" spans="1:3">
      <c r="A831" s="58" t="s">
        <v>2323</v>
      </c>
      <c r="B831" s="58" t="s">
        <v>2324</v>
      </c>
      <c r="C831" s="58" t="s">
        <v>2325</v>
      </c>
    </row>
    <row r="832" spans="1:3">
      <c r="A832" s="58" t="s">
        <v>2326</v>
      </c>
      <c r="B832" s="58" t="s">
        <v>2327</v>
      </c>
      <c r="C832" s="58" t="s">
        <v>2328</v>
      </c>
    </row>
    <row r="833" spans="1:3">
      <c r="A833" s="58" t="s">
        <v>2329</v>
      </c>
      <c r="B833" s="58" t="s">
        <v>2330</v>
      </c>
      <c r="C833" s="58" t="s">
        <v>2331</v>
      </c>
    </row>
    <row r="834" spans="1:3">
      <c r="A834" s="58" t="s">
        <v>2332</v>
      </c>
      <c r="B834" s="58" t="s">
        <v>2333</v>
      </c>
      <c r="C834" s="58" t="s">
        <v>2334</v>
      </c>
    </row>
    <row r="835" spans="1:3">
      <c r="A835" s="58" t="s">
        <v>2335</v>
      </c>
      <c r="B835" s="58" t="s">
        <v>2336</v>
      </c>
      <c r="C835" s="58" t="s">
        <v>2337</v>
      </c>
    </row>
    <row r="836" spans="1:3">
      <c r="A836" s="58" t="s">
        <v>2338</v>
      </c>
      <c r="B836" s="58" t="s">
        <v>2336</v>
      </c>
      <c r="C836" s="58" t="s">
        <v>2339</v>
      </c>
    </row>
    <row r="837" spans="1:3">
      <c r="A837" s="58" t="s">
        <v>2340</v>
      </c>
      <c r="B837" s="58" t="s">
        <v>2341</v>
      </c>
      <c r="C837" s="58" t="s">
        <v>2342</v>
      </c>
    </row>
    <row r="838" spans="1:3">
      <c r="A838" s="58" t="s">
        <v>2343</v>
      </c>
      <c r="B838" s="58" t="s">
        <v>2344</v>
      </c>
      <c r="C838" s="58" t="s">
        <v>2345</v>
      </c>
    </row>
    <row r="839" spans="1:3">
      <c r="A839" s="58" t="s">
        <v>2346</v>
      </c>
      <c r="B839" s="58" t="s">
        <v>2347</v>
      </c>
      <c r="C839" s="58" t="s">
        <v>2348</v>
      </c>
    </row>
    <row r="840" spans="1:3">
      <c r="A840" s="58" t="s">
        <v>2349</v>
      </c>
      <c r="B840" s="58" t="s">
        <v>2350</v>
      </c>
      <c r="C840" s="58" t="s">
        <v>2351</v>
      </c>
    </row>
    <row r="841" spans="1:3">
      <c r="A841" s="58" t="s">
        <v>2352</v>
      </c>
      <c r="B841" s="58" t="s">
        <v>2353</v>
      </c>
      <c r="C841" s="58" t="s">
        <v>2354</v>
      </c>
    </row>
    <row r="842" spans="1:3">
      <c r="A842" s="58" t="s">
        <v>2355</v>
      </c>
      <c r="B842" s="58" t="s">
        <v>2353</v>
      </c>
      <c r="C842" s="58" t="s">
        <v>2354</v>
      </c>
    </row>
    <row r="843" spans="1:3">
      <c r="A843" s="58" t="s">
        <v>2356</v>
      </c>
      <c r="B843" s="58" t="s">
        <v>2357</v>
      </c>
      <c r="C843" s="58" t="s">
        <v>2358</v>
      </c>
    </row>
    <row r="844" spans="1:3">
      <c r="A844" s="58" t="s">
        <v>2359</v>
      </c>
      <c r="B844" s="58" t="s">
        <v>2357</v>
      </c>
      <c r="C844" s="58" t="s">
        <v>2358</v>
      </c>
    </row>
    <row r="845" spans="1:3">
      <c r="A845" s="58" t="s">
        <v>2360</v>
      </c>
      <c r="B845" s="58" t="s">
        <v>2361</v>
      </c>
      <c r="C845" s="58" t="s">
        <v>2362</v>
      </c>
    </row>
    <row r="846" spans="1:3">
      <c r="A846" s="58" t="s">
        <v>2363</v>
      </c>
      <c r="B846" s="58" t="s">
        <v>2364</v>
      </c>
      <c r="C846" s="58" t="s">
        <v>2365</v>
      </c>
    </row>
    <row r="847" spans="1:3">
      <c r="A847" s="58" t="s">
        <v>2366</v>
      </c>
      <c r="B847" s="58" t="s">
        <v>2367</v>
      </c>
      <c r="C847" s="58" t="s">
        <v>2368</v>
      </c>
    </row>
    <row r="848" spans="1:3">
      <c r="A848" s="58" t="s">
        <v>2369</v>
      </c>
      <c r="B848" s="58" t="s">
        <v>2370</v>
      </c>
      <c r="C848" s="58" t="s">
        <v>2371</v>
      </c>
    </row>
    <row r="849" spans="1:3">
      <c r="A849" s="58" t="s">
        <v>2372</v>
      </c>
      <c r="B849" s="58" t="s">
        <v>2373</v>
      </c>
      <c r="C849" s="58" t="s">
        <v>2374</v>
      </c>
    </row>
    <row r="850" spans="1:3">
      <c r="A850" s="58" t="s">
        <v>2375</v>
      </c>
      <c r="B850" s="58" t="s">
        <v>2376</v>
      </c>
      <c r="C850" s="58" t="s">
        <v>2351</v>
      </c>
    </row>
    <row r="851" spans="1:3">
      <c r="A851" s="58" t="s">
        <v>2377</v>
      </c>
      <c r="B851" s="58" t="s">
        <v>2378</v>
      </c>
      <c r="C851" s="58" t="s">
        <v>2379</v>
      </c>
    </row>
    <row r="852" spans="1:3">
      <c r="A852" s="58" t="s">
        <v>2380</v>
      </c>
      <c r="B852" s="58" t="s">
        <v>2381</v>
      </c>
      <c r="C852" s="58" t="s">
        <v>2382</v>
      </c>
    </row>
    <row r="853" spans="1:3">
      <c r="A853" s="58" t="s">
        <v>2383</v>
      </c>
      <c r="B853" s="58" t="s">
        <v>2384</v>
      </c>
      <c r="C853" s="58" t="s">
        <v>2385</v>
      </c>
    </row>
    <row r="854" spans="1:3">
      <c r="A854" s="58" t="s">
        <v>2386</v>
      </c>
      <c r="B854" s="58" t="s">
        <v>2387</v>
      </c>
      <c r="C854" s="58" t="s">
        <v>2388</v>
      </c>
    </row>
    <row r="855" spans="1:3">
      <c r="A855" s="58" t="s">
        <v>2389</v>
      </c>
      <c r="B855" s="58" t="s">
        <v>2390</v>
      </c>
      <c r="C855" s="58" t="s">
        <v>2351</v>
      </c>
    </row>
    <row r="856" spans="1:3">
      <c r="A856" s="58" t="s">
        <v>2391</v>
      </c>
      <c r="B856" s="58" t="s">
        <v>2392</v>
      </c>
      <c r="C856" s="58" t="s">
        <v>2393</v>
      </c>
    </row>
    <row r="857" spans="1:3">
      <c r="A857" s="58" t="s">
        <v>2394</v>
      </c>
      <c r="B857" s="58" t="s">
        <v>2395</v>
      </c>
      <c r="C857" s="58" t="s">
        <v>2396</v>
      </c>
    </row>
    <row r="858" spans="1:3">
      <c r="A858" s="58" t="s">
        <v>2397</v>
      </c>
      <c r="B858" s="58" t="s">
        <v>2398</v>
      </c>
      <c r="C858" s="58" t="s">
        <v>1882</v>
      </c>
    </row>
    <row r="859" spans="1:3">
      <c r="A859" s="58" t="s">
        <v>2399</v>
      </c>
      <c r="B859" s="58" t="s">
        <v>2400</v>
      </c>
      <c r="C859" s="58" t="s">
        <v>2401</v>
      </c>
    </row>
    <row r="860" spans="1:3">
      <c r="A860" s="58" t="s">
        <v>2402</v>
      </c>
      <c r="B860" s="58" t="s">
        <v>2403</v>
      </c>
      <c r="C860" s="58" t="s">
        <v>2404</v>
      </c>
    </row>
    <row r="861" spans="1:3">
      <c r="A861" s="58" t="s">
        <v>2405</v>
      </c>
      <c r="B861" s="58" t="s">
        <v>2406</v>
      </c>
      <c r="C861" s="58" t="s">
        <v>2407</v>
      </c>
    </row>
    <row r="862" spans="1:3">
      <c r="A862" s="58" t="s">
        <v>2408</v>
      </c>
      <c r="B862" s="58" t="s">
        <v>2409</v>
      </c>
      <c r="C862" s="58" t="s">
        <v>2410</v>
      </c>
    </row>
    <row r="863" spans="1:3">
      <c r="A863" s="58" t="s">
        <v>2411</v>
      </c>
      <c r="B863" s="58" t="s">
        <v>2412</v>
      </c>
      <c r="C863" s="58" t="s">
        <v>2413</v>
      </c>
    </row>
    <row r="864" spans="1:3">
      <c r="A864" s="58" t="s">
        <v>2414</v>
      </c>
      <c r="B864" s="58" t="s">
        <v>2412</v>
      </c>
      <c r="C864" s="58" t="s">
        <v>2413</v>
      </c>
    </row>
    <row r="865" spans="1:3">
      <c r="A865" s="58" t="s">
        <v>2415</v>
      </c>
      <c r="B865" s="58" t="s">
        <v>2416</v>
      </c>
      <c r="C865" s="58" t="s">
        <v>2417</v>
      </c>
    </row>
    <row r="866" spans="1:3">
      <c r="A866" s="58" t="s">
        <v>2418</v>
      </c>
      <c r="B866" s="58" t="s">
        <v>2416</v>
      </c>
      <c r="C866" s="58" t="s">
        <v>2417</v>
      </c>
    </row>
    <row r="867" spans="1:3">
      <c r="A867" s="58" t="s">
        <v>2419</v>
      </c>
      <c r="B867" s="58" t="s">
        <v>2416</v>
      </c>
      <c r="C867" s="58" t="s">
        <v>2417</v>
      </c>
    </row>
    <row r="868" spans="1:3">
      <c r="A868" s="58" t="s">
        <v>2420</v>
      </c>
      <c r="B868" s="58" t="s">
        <v>2421</v>
      </c>
      <c r="C868" s="58" t="s">
        <v>2422</v>
      </c>
    </row>
    <row r="869" spans="1:3">
      <c r="A869" s="58" t="s">
        <v>2423</v>
      </c>
      <c r="B869" s="58" t="s">
        <v>2421</v>
      </c>
      <c r="C869" s="58" t="s">
        <v>2422</v>
      </c>
    </row>
    <row r="870" spans="1:3">
      <c r="A870" s="58" t="s">
        <v>2424</v>
      </c>
      <c r="B870" s="58" t="s">
        <v>2421</v>
      </c>
      <c r="C870" s="58" t="s">
        <v>2422</v>
      </c>
    </row>
    <row r="871" spans="1:3">
      <c r="A871" s="58" t="s">
        <v>2425</v>
      </c>
      <c r="B871" s="58" t="s">
        <v>2426</v>
      </c>
      <c r="C871" s="58" t="s">
        <v>2427</v>
      </c>
    </row>
    <row r="872" spans="1:3">
      <c r="A872" s="58" t="s">
        <v>2428</v>
      </c>
      <c r="B872" s="58" t="s">
        <v>2426</v>
      </c>
      <c r="C872" s="58" t="s">
        <v>2427</v>
      </c>
    </row>
    <row r="873" spans="1:3">
      <c r="A873" s="58" t="s">
        <v>2429</v>
      </c>
      <c r="B873" s="58" t="s">
        <v>2430</v>
      </c>
      <c r="C873" s="58" t="s">
        <v>2431</v>
      </c>
    </row>
    <row r="874" spans="1:3">
      <c r="A874" s="58" t="s">
        <v>2432</v>
      </c>
      <c r="B874" s="58" t="s">
        <v>2430</v>
      </c>
      <c r="C874" s="58" t="s">
        <v>2431</v>
      </c>
    </row>
    <row r="875" spans="1:3">
      <c r="A875" s="58" t="s">
        <v>2433</v>
      </c>
      <c r="B875" s="58" t="s">
        <v>2434</v>
      </c>
      <c r="C875" s="58" t="s">
        <v>2435</v>
      </c>
    </row>
    <row r="876" spans="1:3">
      <c r="A876" s="58" t="s">
        <v>2436</v>
      </c>
      <c r="B876" s="58" t="s">
        <v>2434</v>
      </c>
      <c r="C876" s="58" t="s">
        <v>2435</v>
      </c>
    </row>
    <row r="877" spans="1:3">
      <c r="A877" s="58" t="s">
        <v>2437</v>
      </c>
      <c r="B877" s="58" t="s">
        <v>2438</v>
      </c>
      <c r="C877" s="58" t="s">
        <v>2439</v>
      </c>
    </row>
    <row r="878" spans="1:3">
      <c r="A878" s="58" t="s">
        <v>2440</v>
      </c>
      <c r="B878" s="58" t="s">
        <v>2438</v>
      </c>
      <c r="C878" s="58" t="s">
        <v>2439</v>
      </c>
    </row>
    <row r="879" spans="1:3">
      <c r="A879" s="58" t="s">
        <v>2441</v>
      </c>
      <c r="B879" s="58" t="s">
        <v>2442</v>
      </c>
      <c r="C879" s="58" t="s">
        <v>2443</v>
      </c>
    </row>
    <row r="880" spans="1:3">
      <c r="A880" s="58" t="s">
        <v>2444</v>
      </c>
      <c r="B880" s="58" t="s">
        <v>2445</v>
      </c>
      <c r="C880" s="58" t="s">
        <v>2446</v>
      </c>
    </row>
    <row r="881" spans="1:3">
      <c r="A881" s="58" t="s">
        <v>2447</v>
      </c>
      <c r="B881" s="58" t="s">
        <v>2448</v>
      </c>
      <c r="C881" s="58" t="s">
        <v>2449</v>
      </c>
    </row>
    <row r="882" spans="1:3">
      <c r="A882" s="58" t="s">
        <v>2450</v>
      </c>
      <c r="B882" s="58" t="s">
        <v>2451</v>
      </c>
      <c r="C882" s="58" t="s">
        <v>2452</v>
      </c>
    </row>
    <row r="883" spans="1:3">
      <c r="A883" s="58" t="s">
        <v>2453</v>
      </c>
      <c r="B883" s="58" t="s">
        <v>2454</v>
      </c>
      <c r="C883" s="58" t="s">
        <v>2455</v>
      </c>
    </row>
    <row r="884" spans="1:3">
      <c r="A884" s="58" t="s">
        <v>2456</v>
      </c>
      <c r="B884" s="58" t="s">
        <v>2457</v>
      </c>
      <c r="C884" s="58" t="s">
        <v>2458</v>
      </c>
    </row>
    <row r="885" spans="1:3">
      <c r="A885" s="58" t="s">
        <v>2459</v>
      </c>
      <c r="B885" s="58" t="s">
        <v>2460</v>
      </c>
      <c r="C885" s="58" t="s">
        <v>2461</v>
      </c>
    </row>
    <row r="886" spans="1:3">
      <c r="A886" s="58" t="s">
        <v>2462</v>
      </c>
      <c r="B886" s="58" t="s">
        <v>2463</v>
      </c>
      <c r="C886" s="58" t="s">
        <v>2464</v>
      </c>
    </row>
    <row r="887" spans="1:3">
      <c r="A887" s="58" t="s">
        <v>2465</v>
      </c>
      <c r="B887" s="58" t="s">
        <v>2466</v>
      </c>
      <c r="C887" s="58" t="s">
        <v>2467</v>
      </c>
    </row>
    <row r="888" spans="1:3">
      <c r="A888" s="58" t="s">
        <v>2468</v>
      </c>
      <c r="B888" s="58" t="s">
        <v>2466</v>
      </c>
      <c r="C888" s="58" t="s">
        <v>2467</v>
      </c>
    </row>
    <row r="889" spans="1:3">
      <c r="A889" s="58" t="s">
        <v>2469</v>
      </c>
      <c r="B889" s="58" t="s">
        <v>2470</v>
      </c>
      <c r="C889" s="58" t="s">
        <v>2471</v>
      </c>
    </row>
    <row r="890" spans="1:3">
      <c r="A890" s="58" t="s">
        <v>2472</v>
      </c>
      <c r="B890" s="58" t="s">
        <v>2470</v>
      </c>
      <c r="C890" s="58" t="s">
        <v>2471</v>
      </c>
    </row>
    <row r="891" spans="1:3">
      <c r="A891" s="58" t="s">
        <v>2473</v>
      </c>
      <c r="B891" s="58" t="s">
        <v>2474</v>
      </c>
      <c r="C891" s="58" t="s">
        <v>2475</v>
      </c>
    </row>
    <row r="892" spans="1:3">
      <c r="A892" s="58" t="s">
        <v>2476</v>
      </c>
      <c r="B892" s="58" t="s">
        <v>2474</v>
      </c>
      <c r="C892" s="58" t="s">
        <v>2475</v>
      </c>
    </row>
    <row r="893" spans="1:3">
      <c r="A893" s="58" t="s">
        <v>2477</v>
      </c>
      <c r="B893" s="58" t="s">
        <v>2478</v>
      </c>
      <c r="C893" s="58" t="s">
        <v>2479</v>
      </c>
    </row>
    <row r="894" spans="1:3">
      <c r="A894" s="58" t="s">
        <v>2480</v>
      </c>
      <c r="B894" s="58" t="s">
        <v>2481</v>
      </c>
      <c r="C894" s="58" t="s">
        <v>2482</v>
      </c>
    </row>
    <row r="895" spans="1:3">
      <c r="A895" s="58" t="s">
        <v>2483</v>
      </c>
      <c r="B895" s="58" t="s">
        <v>2481</v>
      </c>
      <c r="C895" s="58" t="s">
        <v>2482</v>
      </c>
    </row>
    <row r="896" spans="1:3">
      <c r="A896" s="58" t="s">
        <v>2484</v>
      </c>
      <c r="B896" s="58" t="s">
        <v>2485</v>
      </c>
      <c r="C896" s="58" t="s">
        <v>2486</v>
      </c>
    </row>
    <row r="897" spans="1:3">
      <c r="A897" s="58" t="s">
        <v>2487</v>
      </c>
      <c r="B897" s="58" t="s">
        <v>2485</v>
      </c>
      <c r="C897" s="58" t="s">
        <v>2486</v>
      </c>
    </row>
    <row r="898" spans="1:3">
      <c r="A898" s="58" t="s">
        <v>2488</v>
      </c>
      <c r="B898" s="58" t="s">
        <v>2489</v>
      </c>
      <c r="C898" s="58" t="s">
        <v>2490</v>
      </c>
    </row>
    <row r="899" spans="1:3">
      <c r="A899" s="58" t="s">
        <v>2491</v>
      </c>
      <c r="B899" s="58" t="s">
        <v>2489</v>
      </c>
      <c r="C899" s="58" t="s">
        <v>2490</v>
      </c>
    </row>
    <row r="900" spans="1:3">
      <c r="A900" s="58" t="s">
        <v>2492</v>
      </c>
      <c r="B900" s="58" t="s">
        <v>2493</v>
      </c>
      <c r="C900" s="58" t="s">
        <v>2494</v>
      </c>
    </row>
    <row r="901" spans="1:3">
      <c r="A901" s="58" t="s">
        <v>2495</v>
      </c>
      <c r="B901" s="58" t="s">
        <v>2493</v>
      </c>
      <c r="C901" s="58" t="s">
        <v>2494</v>
      </c>
    </row>
    <row r="902" spans="1:3">
      <c r="A902" s="58" t="s">
        <v>2496</v>
      </c>
      <c r="B902" s="58" t="s">
        <v>2497</v>
      </c>
      <c r="C902" s="58" t="s">
        <v>2498</v>
      </c>
    </row>
    <row r="903" spans="1:3">
      <c r="A903" s="58" t="s">
        <v>2499</v>
      </c>
      <c r="B903" s="58" t="s">
        <v>2497</v>
      </c>
      <c r="C903" s="58" t="s">
        <v>2498</v>
      </c>
    </row>
    <row r="904" spans="1:3">
      <c r="A904" s="58" t="s">
        <v>2500</v>
      </c>
      <c r="B904" s="58" t="s">
        <v>2501</v>
      </c>
      <c r="C904" s="58" t="s">
        <v>2502</v>
      </c>
    </row>
    <row r="905" spans="1:3">
      <c r="A905" s="58" t="s">
        <v>2503</v>
      </c>
      <c r="B905" s="58" t="s">
        <v>2504</v>
      </c>
      <c r="C905" s="58" t="s">
        <v>2505</v>
      </c>
    </row>
    <row r="906" spans="1:3">
      <c r="A906" s="58" t="s">
        <v>2506</v>
      </c>
      <c r="B906" s="58" t="s">
        <v>2507</v>
      </c>
      <c r="C906" s="58" t="s">
        <v>2508</v>
      </c>
    </row>
    <row r="907" spans="1:3">
      <c r="A907" s="58" t="s">
        <v>2509</v>
      </c>
      <c r="B907" s="58" t="s">
        <v>2507</v>
      </c>
      <c r="C907" s="58" t="s">
        <v>2508</v>
      </c>
    </row>
    <row r="908" spans="1:3">
      <c r="A908" s="58" t="s">
        <v>2510</v>
      </c>
      <c r="B908" s="58" t="s">
        <v>2507</v>
      </c>
      <c r="C908" s="58" t="s">
        <v>2508</v>
      </c>
    </row>
    <row r="909" spans="1:3">
      <c r="A909" s="58" t="s">
        <v>2511</v>
      </c>
      <c r="B909" s="58" t="s">
        <v>2512</v>
      </c>
      <c r="C909" s="58" t="s">
        <v>2513</v>
      </c>
    </row>
    <row r="910" spans="1:3">
      <c r="A910" s="58" t="s">
        <v>2514</v>
      </c>
      <c r="B910" s="58" t="s">
        <v>2515</v>
      </c>
      <c r="C910" s="58" t="s">
        <v>2516</v>
      </c>
    </row>
    <row r="911" spans="1:3">
      <c r="A911" s="58" t="s">
        <v>2517</v>
      </c>
      <c r="B911" s="58" t="s">
        <v>2518</v>
      </c>
      <c r="C911" s="58" t="s">
        <v>2519</v>
      </c>
    </row>
    <row r="912" spans="1:3">
      <c r="A912" s="58" t="s">
        <v>2520</v>
      </c>
      <c r="B912" s="58" t="s">
        <v>2521</v>
      </c>
      <c r="C912" s="58" t="s">
        <v>2522</v>
      </c>
    </row>
    <row r="913" spans="1:3">
      <c r="A913" s="58" t="s">
        <v>2523</v>
      </c>
      <c r="B913" s="58" t="s">
        <v>2524</v>
      </c>
      <c r="C913" s="58" t="s">
        <v>2525</v>
      </c>
    </row>
    <row r="914" spans="1:3">
      <c r="A914" s="58" t="s">
        <v>2526</v>
      </c>
      <c r="B914" s="58" t="s">
        <v>2527</v>
      </c>
      <c r="C914" s="58" t="s">
        <v>2528</v>
      </c>
    </row>
    <row r="915" spans="1:3">
      <c r="A915" s="58" t="s">
        <v>2529</v>
      </c>
      <c r="B915" s="58" t="s">
        <v>2530</v>
      </c>
      <c r="C915" s="58" t="s">
        <v>2531</v>
      </c>
    </row>
    <row r="916" spans="1:3">
      <c r="A916" s="58" t="s">
        <v>2532</v>
      </c>
      <c r="B916" s="58" t="s">
        <v>2533</v>
      </c>
      <c r="C916" s="58" t="s">
        <v>2534</v>
      </c>
    </row>
    <row r="917" spans="1:3">
      <c r="A917" s="58" t="s">
        <v>2535</v>
      </c>
      <c r="B917" s="58" t="s">
        <v>2536</v>
      </c>
      <c r="C917" s="58" t="s">
        <v>2537</v>
      </c>
    </row>
    <row r="918" spans="1:3">
      <c r="A918" s="58" t="s">
        <v>2538</v>
      </c>
      <c r="B918" s="58" t="s">
        <v>2539</v>
      </c>
      <c r="C918" s="58" t="s">
        <v>2540</v>
      </c>
    </row>
    <row r="919" spans="1:3">
      <c r="A919" s="58" t="s">
        <v>2541</v>
      </c>
      <c r="B919" s="58" t="s">
        <v>2542</v>
      </c>
      <c r="C919" s="58" t="s">
        <v>2543</v>
      </c>
    </row>
    <row r="920" spans="1:3">
      <c r="A920" s="58" t="s">
        <v>2544</v>
      </c>
      <c r="B920" s="58" t="s">
        <v>2545</v>
      </c>
      <c r="C920" s="58" t="s">
        <v>2546</v>
      </c>
    </row>
    <row r="921" spans="1:3">
      <c r="A921" s="58" t="s">
        <v>2547</v>
      </c>
      <c r="B921" s="58" t="s">
        <v>2548</v>
      </c>
      <c r="C921" s="58" t="s">
        <v>2549</v>
      </c>
    </row>
    <row r="922" spans="1:3">
      <c r="A922" s="58" t="s">
        <v>2550</v>
      </c>
      <c r="B922" s="58" t="s">
        <v>2548</v>
      </c>
      <c r="C922" s="58" t="s">
        <v>2549</v>
      </c>
    </row>
    <row r="923" spans="1:3">
      <c r="A923" s="58" t="s">
        <v>2551</v>
      </c>
      <c r="B923" s="58" t="s">
        <v>2552</v>
      </c>
      <c r="C923" s="58" t="s">
        <v>2553</v>
      </c>
    </row>
    <row r="924" spans="1:3">
      <c r="A924" s="58" t="s">
        <v>2554</v>
      </c>
      <c r="B924" s="58" t="s">
        <v>2555</v>
      </c>
      <c r="C924" s="58" t="s">
        <v>2556</v>
      </c>
    </row>
    <row r="925" spans="1:3">
      <c r="A925" s="58" t="s">
        <v>2557</v>
      </c>
      <c r="B925" s="58" t="s">
        <v>2558</v>
      </c>
      <c r="C925" s="58" t="s">
        <v>2559</v>
      </c>
    </row>
    <row r="926" spans="1:3">
      <c r="A926" s="58" t="s">
        <v>2560</v>
      </c>
      <c r="B926" s="58" t="s">
        <v>2561</v>
      </c>
      <c r="C926" s="58" t="s">
        <v>2562</v>
      </c>
    </row>
    <row r="927" spans="1:3">
      <c r="A927" s="58" t="s">
        <v>2563</v>
      </c>
      <c r="B927" s="58" t="s">
        <v>2564</v>
      </c>
      <c r="C927" s="58" t="s">
        <v>2565</v>
      </c>
    </row>
    <row r="928" spans="1:3">
      <c r="A928" s="58" t="s">
        <v>2566</v>
      </c>
      <c r="B928" s="58" t="s">
        <v>2567</v>
      </c>
      <c r="C928" s="58" t="s">
        <v>2568</v>
      </c>
    </row>
    <row r="929" spans="1:3">
      <c r="A929" s="58" t="s">
        <v>2569</v>
      </c>
      <c r="B929" s="58" t="s">
        <v>2570</v>
      </c>
      <c r="C929" s="58" t="s">
        <v>2571</v>
      </c>
    </row>
    <row r="930" spans="1:3">
      <c r="A930" s="58" t="s">
        <v>2572</v>
      </c>
      <c r="B930" s="58" t="s">
        <v>2573</v>
      </c>
      <c r="C930" s="58" t="s">
        <v>2574</v>
      </c>
    </row>
    <row r="931" spans="1:3">
      <c r="A931" s="58" t="s">
        <v>2575</v>
      </c>
      <c r="B931" s="58" t="s">
        <v>2576</v>
      </c>
      <c r="C931" s="58" t="s">
        <v>2577</v>
      </c>
    </row>
    <row r="932" spans="1:3">
      <c r="A932" s="58" t="s">
        <v>2578</v>
      </c>
      <c r="B932" s="58" t="s">
        <v>2579</v>
      </c>
      <c r="C932" s="58" t="s">
        <v>2580</v>
      </c>
    </row>
    <row r="933" spans="1:3">
      <c r="A933" s="58" t="s">
        <v>2581</v>
      </c>
      <c r="B933" s="58" t="s">
        <v>2582</v>
      </c>
      <c r="C933" s="58" t="s">
        <v>2583</v>
      </c>
    </row>
    <row r="934" spans="1:3">
      <c r="A934" s="58" t="s">
        <v>2584</v>
      </c>
      <c r="B934" s="58" t="s">
        <v>2582</v>
      </c>
      <c r="C934" s="58" t="s">
        <v>2583</v>
      </c>
    </row>
    <row r="935" spans="1:3">
      <c r="A935" s="58" t="s">
        <v>2585</v>
      </c>
      <c r="B935" s="58" t="s">
        <v>2586</v>
      </c>
      <c r="C935" s="58" t="s">
        <v>2587</v>
      </c>
    </row>
    <row r="936" spans="1:3">
      <c r="A936" s="58" t="s">
        <v>2588</v>
      </c>
      <c r="B936" s="58" t="s">
        <v>2589</v>
      </c>
      <c r="C936" s="58" t="s">
        <v>2590</v>
      </c>
    </row>
    <row r="937" spans="1:3">
      <c r="A937" s="58" t="s">
        <v>2591</v>
      </c>
      <c r="B937" s="58" t="s">
        <v>2592</v>
      </c>
      <c r="C937" s="58" t="s">
        <v>2593</v>
      </c>
    </row>
    <row r="938" spans="1:3">
      <c r="A938" s="58" t="s">
        <v>2594</v>
      </c>
      <c r="B938" s="58" t="s">
        <v>2595</v>
      </c>
      <c r="C938" s="58" t="s">
        <v>2596</v>
      </c>
    </row>
    <row r="939" spans="1:3">
      <c r="A939" s="58" t="s">
        <v>2597</v>
      </c>
      <c r="B939" s="58" t="s">
        <v>2598</v>
      </c>
      <c r="C939" s="58" t="s">
        <v>2599</v>
      </c>
    </row>
    <row r="940" spans="1:3">
      <c r="A940" s="58" t="s">
        <v>2600</v>
      </c>
      <c r="B940" s="58" t="s">
        <v>2601</v>
      </c>
      <c r="C940" s="58" t="s">
        <v>2602</v>
      </c>
    </row>
    <row r="941" spans="1:3">
      <c r="A941" s="58" t="s">
        <v>2603</v>
      </c>
      <c r="B941" s="58" t="s">
        <v>2604</v>
      </c>
      <c r="C941" s="58" t="s">
        <v>2605</v>
      </c>
    </row>
    <row r="942" spans="1:3">
      <c r="A942" s="58" t="s">
        <v>2606</v>
      </c>
      <c r="B942" s="58" t="s">
        <v>2607</v>
      </c>
      <c r="C942" s="58" t="s">
        <v>2608</v>
      </c>
    </row>
    <row r="943" spans="1:3">
      <c r="A943" s="58" t="s">
        <v>2609</v>
      </c>
      <c r="B943" s="58" t="s">
        <v>2610</v>
      </c>
      <c r="C943" s="58" t="s">
        <v>2611</v>
      </c>
    </row>
    <row r="944" spans="1:3">
      <c r="A944" s="58" t="s">
        <v>2612</v>
      </c>
      <c r="B944" s="58" t="s">
        <v>2613</v>
      </c>
      <c r="C944" s="58" t="s">
        <v>2614</v>
      </c>
    </row>
    <row r="945" spans="1:3">
      <c r="A945" s="58" t="s">
        <v>2615</v>
      </c>
      <c r="B945" s="58" t="s">
        <v>2616</v>
      </c>
      <c r="C945" s="58" t="s">
        <v>2617</v>
      </c>
    </row>
    <row r="946" spans="1:3">
      <c r="A946" s="58" t="s">
        <v>2618</v>
      </c>
      <c r="B946" s="58" t="s">
        <v>2619</v>
      </c>
      <c r="C946" s="58" t="s">
        <v>2620</v>
      </c>
    </row>
    <row r="947" spans="1:3">
      <c r="A947" s="58" t="s">
        <v>2621</v>
      </c>
      <c r="B947" s="58" t="s">
        <v>2622</v>
      </c>
      <c r="C947" s="58" t="s">
        <v>2623</v>
      </c>
    </row>
    <row r="948" spans="1:3">
      <c r="A948" s="58" t="s">
        <v>2624</v>
      </c>
      <c r="B948" s="58" t="s">
        <v>2625</v>
      </c>
      <c r="C948" s="58" t="s">
        <v>2626</v>
      </c>
    </row>
    <row r="949" spans="1:3">
      <c r="A949" s="58" t="s">
        <v>2627</v>
      </c>
      <c r="B949" s="58" t="s">
        <v>2628</v>
      </c>
      <c r="C949" s="58" t="s">
        <v>2629</v>
      </c>
    </row>
    <row r="950" spans="1:3">
      <c r="A950" s="58" t="s">
        <v>2630</v>
      </c>
      <c r="B950" s="58" t="s">
        <v>2628</v>
      </c>
      <c r="C950" s="58" t="s">
        <v>2629</v>
      </c>
    </row>
    <row r="951" spans="1:3">
      <c r="A951" s="58" t="s">
        <v>2631</v>
      </c>
      <c r="B951" s="58" t="s">
        <v>2632</v>
      </c>
      <c r="C951" s="58" t="s">
        <v>2633</v>
      </c>
    </row>
    <row r="952" spans="1:3">
      <c r="A952" s="58" t="s">
        <v>2634</v>
      </c>
      <c r="B952" s="58" t="s">
        <v>2635</v>
      </c>
      <c r="C952" s="58" t="s">
        <v>2636</v>
      </c>
    </row>
    <row r="953" spans="1:3">
      <c r="A953" s="58" t="s">
        <v>2637</v>
      </c>
      <c r="B953" s="58" t="s">
        <v>2638</v>
      </c>
      <c r="C953" s="58" t="s">
        <v>2639</v>
      </c>
    </row>
    <row r="954" spans="1:3">
      <c r="A954" s="58" t="s">
        <v>2640</v>
      </c>
      <c r="B954" s="58" t="s">
        <v>2641</v>
      </c>
      <c r="C954" s="58" t="s">
        <v>2642</v>
      </c>
    </row>
    <row r="955" spans="1:3">
      <c r="A955" s="58" t="s">
        <v>2643</v>
      </c>
      <c r="B955" s="58" t="s">
        <v>2644</v>
      </c>
      <c r="C955" s="58" t="s">
        <v>2645</v>
      </c>
    </row>
    <row r="956" spans="1:3">
      <c r="A956" s="58" t="s">
        <v>2646</v>
      </c>
      <c r="B956" s="58" t="s">
        <v>2647</v>
      </c>
      <c r="C956" s="58" t="s">
        <v>2648</v>
      </c>
    </row>
    <row r="957" spans="1:3">
      <c r="A957" s="58" t="s">
        <v>2649</v>
      </c>
      <c r="B957" s="58" t="s">
        <v>2650</v>
      </c>
      <c r="C957" s="58" t="s">
        <v>2651</v>
      </c>
    </row>
    <row r="958" spans="1:3">
      <c r="A958" s="58" t="s">
        <v>2652</v>
      </c>
      <c r="B958" s="58" t="s">
        <v>2653</v>
      </c>
      <c r="C958" s="58" t="s">
        <v>2654</v>
      </c>
    </row>
    <row r="959" spans="1:3">
      <c r="A959" s="58" t="s">
        <v>2655</v>
      </c>
      <c r="B959" s="58" t="s">
        <v>2656</v>
      </c>
      <c r="C959" s="58" t="s">
        <v>2657</v>
      </c>
    </row>
    <row r="960" spans="1:3">
      <c r="A960" s="58" t="s">
        <v>2658</v>
      </c>
      <c r="B960" s="58" t="s">
        <v>2659</v>
      </c>
      <c r="C960" s="58" t="s">
        <v>2660</v>
      </c>
    </row>
    <row r="961" spans="1:3">
      <c r="A961" s="58" t="s">
        <v>2661</v>
      </c>
      <c r="B961" s="58" t="s">
        <v>2662</v>
      </c>
      <c r="C961" s="58" t="s">
        <v>2663</v>
      </c>
    </row>
    <row r="962" spans="1:3">
      <c r="A962" s="58" t="s">
        <v>2664</v>
      </c>
      <c r="B962" s="58" t="s">
        <v>2665</v>
      </c>
      <c r="C962" s="58" t="s">
        <v>2666</v>
      </c>
    </row>
    <row r="963" spans="1:3">
      <c r="A963" s="58" t="s">
        <v>2667</v>
      </c>
      <c r="B963" s="58" t="s">
        <v>2668</v>
      </c>
      <c r="C963" s="58" t="s">
        <v>2669</v>
      </c>
    </row>
    <row r="964" spans="1:3">
      <c r="A964" s="58" t="s">
        <v>2670</v>
      </c>
      <c r="B964" s="58" t="s">
        <v>2671</v>
      </c>
      <c r="C964" s="58" t="s">
        <v>2672</v>
      </c>
    </row>
    <row r="965" spans="1:3">
      <c r="A965" s="58" t="s">
        <v>2673</v>
      </c>
      <c r="B965" s="58" t="s">
        <v>2674</v>
      </c>
      <c r="C965" s="58" t="s">
        <v>2675</v>
      </c>
    </row>
    <row r="966" spans="1:3">
      <c r="A966" s="58" t="s">
        <v>2676</v>
      </c>
      <c r="B966" s="58" t="s">
        <v>2677</v>
      </c>
      <c r="C966" s="58" t="s">
        <v>2678</v>
      </c>
    </row>
    <row r="967" spans="1:3">
      <c r="A967" s="58" t="s">
        <v>2679</v>
      </c>
      <c r="B967" s="58" t="s">
        <v>2680</v>
      </c>
      <c r="C967" s="58" t="s">
        <v>2681</v>
      </c>
    </row>
    <row r="968" spans="1:3">
      <c r="A968" s="58" t="s">
        <v>2682</v>
      </c>
      <c r="B968" s="58" t="s">
        <v>2680</v>
      </c>
      <c r="C968" s="58" t="s">
        <v>2681</v>
      </c>
    </row>
    <row r="969" spans="1:3">
      <c r="A969" s="58" t="s">
        <v>2683</v>
      </c>
      <c r="B969" s="58" t="s">
        <v>2684</v>
      </c>
      <c r="C969" s="58" t="s">
        <v>2685</v>
      </c>
    </row>
    <row r="970" spans="1:3">
      <c r="A970" s="58" t="s">
        <v>2686</v>
      </c>
      <c r="B970" s="58" t="s">
        <v>2687</v>
      </c>
      <c r="C970" s="58" t="s">
        <v>2688</v>
      </c>
    </row>
    <row r="971" spans="1:3">
      <c r="A971" s="58" t="s">
        <v>2689</v>
      </c>
      <c r="B971" s="58" t="s">
        <v>2690</v>
      </c>
      <c r="C971" s="58" t="s">
        <v>2691</v>
      </c>
    </row>
    <row r="972" spans="1:3">
      <c r="A972" s="58" t="s">
        <v>2692</v>
      </c>
      <c r="B972" s="58" t="s">
        <v>2693</v>
      </c>
      <c r="C972" s="58" t="s">
        <v>2694</v>
      </c>
    </row>
    <row r="973" spans="1:3">
      <c r="A973" s="58" t="s">
        <v>2695</v>
      </c>
      <c r="B973" s="58" t="s">
        <v>2696</v>
      </c>
      <c r="C973" s="58" t="s">
        <v>2697</v>
      </c>
    </row>
    <row r="974" spans="1:3">
      <c r="A974" s="58" t="s">
        <v>2698</v>
      </c>
      <c r="B974" s="58" t="s">
        <v>2696</v>
      </c>
      <c r="C974" s="58" t="s">
        <v>2697</v>
      </c>
    </row>
    <row r="975" spans="1:3">
      <c r="A975" s="58" t="s">
        <v>2699</v>
      </c>
      <c r="B975" s="58" t="s">
        <v>2696</v>
      </c>
      <c r="C975" s="58" t="s">
        <v>2697</v>
      </c>
    </row>
    <row r="976" spans="1:3">
      <c r="A976" s="58" t="s">
        <v>2700</v>
      </c>
      <c r="B976" s="58" t="s">
        <v>2701</v>
      </c>
      <c r="C976" s="58" t="s">
        <v>2702</v>
      </c>
    </row>
    <row r="977" spans="1:3">
      <c r="A977" s="58" t="s">
        <v>2703</v>
      </c>
      <c r="B977" s="58" t="s">
        <v>2704</v>
      </c>
      <c r="C977" s="58" t="s">
        <v>2705</v>
      </c>
    </row>
    <row r="978" spans="1:3">
      <c r="A978" s="58" t="s">
        <v>2706</v>
      </c>
      <c r="B978" s="58" t="s">
        <v>2707</v>
      </c>
      <c r="C978" s="58" t="s">
        <v>2708</v>
      </c>
    </row>
    <row r="979" spans="1:3">
      <c r="A979" s="58" t="s">
        <v>2709</v>
      </c>
      <c r="B979" s="58" t="s">
        <v>2707</v>
      </c>
      <c r="C979" s="58" t="s">
        <v>2708</v>
      </c>
    </row>
    <row r="980" spans="1:3">
      <c r="A980" s="58" t="s">
        <v>2710</v>
      </c>
      <c r="B980" s="58" t="s">
        <v>2711</v>
      </c>
      <c r="C980" s="58" t="s">
        <v>2712</v>
      </c>
    </row>
    <row r="981" spans="1:3">
      <c r="A981" s="58" t="s">
        <v>2713</v>
      </c>
      <c r="B981" s="58" t="s">
        <v>2711</v>
      </c>
      <c r="C981" s="58" t="s">
        <v>2712</v>
      </c>
    </row>
    <row r="982" spans="1:3">
      <c r="A982" s="58" t="s">
        <v>2714</v>
      </c>
      <c r="B982" s="58" t="s">
        <v>2715</v>
      </c>
      <c r="C982" s="58" t="s">
        <v>2716</v>
      </c>
    </row>
    <row r="983" spans="1:3">
      <c r="A983" s="58" t="s">
        <v>2717</v>
      </c>
      <c r="B983" s="58" t="s">
        <v>2718</v>
      </c>
      <c r="C983" s="58" t="s">
        <v>2719</v>
      </c>
    </row>
    <row r="984" spans="1:3">
      <c r="A984" s="58" t="s">
        <v>2720</v>
      </c>
      <c r="B984" s="58" t="s">
        <v>2721</v>
      </c>
      <c r="C984" s="58" t="s">
        <v>2722</v>
      </c>
    </row>
    <row r="985" spans="1:3">
      <c r="A985" s="58" t="s">
        <v>2723</v>
      </c>
      <c r="B985" s="58" t="s">
        <v>2724</v>
      </c>
      <c r="C985" s="58" t="s">
        <v>2725</v>
      </c>
    </row>
    <row r="986" spans="1:3">
      <c r="A986" s="58" t="s">
        <v>2726</v>
      </c>
      <c r="B986" s="58" t="s">
        <v>2727</v>
      </c>
      <c r="C986" s="58" t="s">
        <v>2728</v>
      </c>
    </row>
    <row r="987" spans="1:3">
      <c r="A987" s="58" t="s">
        <v>2729</v>
      </c>
      <c r="B987" s="58" t="s">
        <v>2727</v>
      </c>
      <c r="C987" s="58" t="s">
        <v>2728</v>
      </c>
    </row>
    <row r="988" spans="1:3">
      <c r="A988" s="58" t="s">
        <v>2730</v>
      </c>
      <c r="B988" s="58" t="s">
        <v>2731</v>
      </c>
      <c r="C988" s="58" t="s">
        <v>2732</v>
      </c>
    </row>
    <row r="989" spans="1:3">
      <c r="A989" s="58" t="s">
        <v>2733</v>
      </c>
      <c r="B989" s="58" t="s">
        <v>2731</v>
      </c>
      <c r="C989" s="58" t="s">
        <v>2732</v>
      </c>
    </row>
    <row r="990" spans="1:3">
      <c r="A990" s="58" t="s">
        <v>2734</v>
      </c>
      <c r="B990" s="58" t="s">
        <v>2735</v>
      </c>
      <c r="C990" s="58" t="s">
        <v>2732</v>
      </c>
    </row>
    <row r="991" spans="1:3">
      <c r="A991" s="58" t="s">
        <v>2736</v>
      </c>
      <c r="B991" s="58" t="s">
        <v>2737</v>
      </c>
      <c r="C991" s="58" t="s">
        <v>2732</v>
      </c>
    </row>
    <row r="992" spans="1:3">
      <c r="A992" s="58" t="s">
        <v>2738</v>
      </c>
      <c r="B992" s="58" t="s">
        <v>2739</v>
      </c>
      <c r="C992" s="58" t="s">
        <v>2740</v>
      </c>
    </row>
    <row r="993" spans="1:3">
      <c r="A993" s="58" t="s">
        <v>2741</v>
      </c>
      <c r="B993" s="58" t="s">
        <v>2742</v>
      </c>
      <c r="C993" s="58" t="s">
        <v>2743</v>
      </c>
    </row>
    <row r="994" spans="1:3">
      <c r="A994" s="58" t="s">
        <v>2744</v>
      </c>
      <c r="B994" s="58" t="s">
        <v>2742</v>
      </c>
      <c r="C994" s="58" t="s">
        <v>2743</v>
      </c>
    </row>
    <row r="995" spans="1:3">
      <c r="A995" s="58" t="s">
        <v>2745</v>
      </c>
      <c r="B995" s="58" t="s">
        <v>2746</v>
      </c>
      <c r="C995" s="58" t="s">
        <v>2747</v>
      </c>
    </row>
    <row r="996" spans="1:3">
      <c r="A996" s="58" t="s">
        <v>2748</v>
      </c>
      <c r="B996" s="58" t="s">
        <v>2749</v>
      </c>
      <c r="C996" s="58" t="s">
        <v>2750</v>
      </c>
    </row>
    <row r="997" spans="1:3">
      <c r="A997" s="58" t="s">
        <v>2751</v>
      </c>
      <c r="B997" s="58" t="s">
        <v>2752</v>
      </c>
      <c r="C997" s="58" t="s">
        <v>2753</v>
      </c>
    </row>
    <row r="998" spans="1:3">
      <c r="A998" s="58" t="s">
        <v>2754</v>
      </c>
      <c r="B998" s="58" t="s">
        <v>2755</v>
      </c>
      <c r="C998" s="58" t="s">
        <v>2756</v>
      </c>
    </row>
    <row r="999" spans="1:3">
      <c r="A999" s="58" t="s">
        <v>2757</v>
      </c>
      <c r="B999" s="58" t="s">
        <v>2758</v>
      </c>
      <c r="C999" s="58" t="s">
        <v>2759</v>
      </c>
    </row>
    <row r="1000" spans="1:3">
      <c r="A1000" s="58" t="s">
        <v>2760</v>
      </c>
      <c r="B1000" s="58" t="s">
        <v>2761</v>
      </c>
      <c r="C1000" s="58" t="s">
        <v>2762</v>
      </c>
    </row>
    <row r="1001" spans="1:3">
      <c r="A1001" s="58" t="s">
        <v>2763</v>
      </c>
      <c r="B1001" s="58" t="s">
        <v>2764</v>
      </c>
      <c r="C1001" s="58" t="s">
        <v>2765</v>
      </c>
    </row>
    <row r="1002" spans="1:3">
      <c r="A1002" s="58" t="s">
        <v>2766</v>
      </c>
      <c r="B1002" s="58" t="s">
        <v>2764</v>
      </c>
      <c r="C1002" s="58" t="s">
        <v>2765</v>
      </c>
    </row>
    <row r="1003" spans="1:3">
      <c r="A1003" s="58" t="s">
        <v>2767</v>
      </c>
      <c r="B1003" s="58" t="s">
        <v>2768</v>
      </c>
      <c r="C1003" s="58" t="s">
        <v>2769</v>
      </c>
    </row>
    <row r="1004" spans="1:3">
      <c r="A1004" s="58" t="s">
        <v>2770</v>
      </c>
      <c r="B1004" s="58" t="s">
        <v>2771</v>
      </c>
      <c r="C1004" s="58" t="s">
        <v>2772</v>
      </c>
    </row>
    <row r="1005" spans="1:3">
      <c r="A1005" s="58" t="s">
        <v>2773</v>
      </c>
      <c r="B1005" s="58" t="s">
        <v>2774</v>
      </c>
      <c r="C1005" s="58" t="s">
        <v>2775</v>
      </c>
    </row>
    <row r="1006" spans="1:3">
      <c r="A1006" s="58" t="s">
        <v>2776</v>
      </c>
      <c r="B1006" s="58" t="s">
        <v>2777</v>
      </c>
      <c r="C1006" s="58" t="s">
        <v>2778</v>
      </c>
    </row>
    <row r="1007" spans="1:3">
      <c r="A1007" s="58" t="s">
        <v>2779</v>
      </c>
      <c r="B1007" s="58" t="s">
        <v>2780</v>
      </c>
      <c r="C1007" s="58" t="s">
        <v>2781</v>
      </c>
    </row>
    <row r="1008" spans="1:3">
      <c r="A1008" s="58" t="s">
        <v>2782</v>
      </c>
      <c r="B1008" s="58" t="s">
        <v>2783</v>
      </c>
      <c r="C1008" s="58" t="s">
        <v>2784</v>
      </c>
    </row>
    <row r="1009" spans="1:3">
      <c r="A1009" s="58" t="s">
        <v>2785</v>
      </c>
      <c r="B1009" s="58" t="s">
        <v>2786</v>
      </c>
      <c r="C1009" s="58" t="s">
        <v>2787</v>
      </c>
    </row>
    <row r="1010" spans="1:3">
      <c r="A1010" s="58" t="s">
        <v>2788</v>
      </c>
      <c r="B1010" s="58" t="s">
        <v>2789</v>
      </c>
      <c r="C1010" s="58" t="s">
        <v>2790</v>
      </c>
    </row>
    <row r="1011" spans="1:3">
      <c r="A1011" s="58" t="s">
        <v>2791</v>
      </c>
      <c r="B1011" s="58" t="s">
        <v>2792</v>
      </c>
      <c r="C1011" s="58" t="s">
        <v>2793</v>
      </c>
    </row>
    <row r="1012" spans="1:3">
      <c r="A1012" s="58" t="s">
        <v>2794</v>
      </c>
      <c r="B1012" s="58" t="s">
        <v>2795</v>
      </c>
      <c r="C1012" s="58" t="s">
        <v>2796</v>
      </c>
    </row>
    <row r="1013" spans="1:3">
      <c r="A1013" s="58" t="s">
        <v>2797</v>
      </c>
      <c r="B1013" s="58" t="s">
        <v>2798</v>
      </c>
      <c r="C1013" s="58" t="s">
        <v>2799</v>
      </c>
    </row>
    <row r="1014" spans="1:3">
      <c r="A1014" s="58" t="s">
        <v>2800</v>
      </c>
      <c r="B1014" s="58" t="s">
        <v>2801</v>
      </c>
      <c r="C1014" s="58" t="s">
        <v>2802</v>
      </c>
    </row>
    <row r="1015" spans="1:3">
      <c r="A1015" s="58" t="s">
        <v>2803</v>
      </c>
      <c r="B1015" s="58" t="s">
        <v>2804</v>
      </c>
      <c r="C1015" s="58" t="s">
        <v>2805</v>
      </c>
    </row>
    <row r="1016" spans="1:3">
      <c r="A1016" s="58" t="s">
        <v>2806</v>
      </c>
      <c r="B1016" s="58" t="s">
        <v>2807</v>
      </c>
      <c r="C1016" s="58" t="s">
        <v>2808</v>
      </c>
    </row>
    <row r="1017" spans="1:3">
      <c r="A1017" s="58" t="s">
        <v>2809</v>
      </c>
      <c r="B1017" s="58" t="s">
        <v>2810</v>
      </c>
      <c r="C1017" s="58" t="s">
        <v>2811</v>
      </c>
    </row>
    <row r="1018" spans="1:3">
      <c r="A1018" s="58" t="s">
        <v>2812</v>
      </c>
      <c r="B1018" s="58" t="s">
        <v>2813</v>
      </c>
      <c r="C1018" s="58" t="s">
        <v>2814</v>
      </c>
    </row>
    <row r="1019" spans="1:3">
      <c r="A1019" s="58" t="s">
        <v>2815</v>
      </c>
      <c r="B1019" s="58" t="s">
        <v>2816</v>
      </c>
      <c r="C1019" s="58" t="s">
        <v>2817</v>
      </c>
    </row>
    <row r="1020" spans="1:3">
      <c r="A1020" s="58" t="s">
        <v>2818</v>
      </c>
      <c r="B1020" s="58" t="s">
        <v>2819</v>
      </c>
      <c r="C1020" s="58" t="s">
        <v>2820</v>
      </c>
    </row>
    <row r="1021" spans="1:3">
      <c r="A1021" s="58" t="s">
        <v>2821</v>
      </c>
      <c r="B1021" s="58" t="s">
        <v>2822</v>
      </c>
      <c r="C1021" s="58" t="s">
        <v>2823</v>
      </c>
    </row>
    <row r="1022" spans="1:3">
      <c r="A1022" s="58" t="s">
        <v>2824</v>
      </c>
      <c r="B1022" s="58" t="s">
        <v>2825</v>
      </c>
      <c r="C1022" s="58" t="s">
        <v>2826</v>
      </c>
    </row>
    <row r="1023" spans="1:3">
      <c r="A1023" s="58" t="s">
        <v>2827</v>
      </c>
      <c r="B1023" s="58" t="s">
        <v>2828</v>
      </c>
      <c r="C1023" s="58" t="s">
        <v>2829</v>
      </c>
    </row>
    <row r="1024" spans="1:3">
      <c r="A1024" s="58" t="s">
        <v>2830</v>
      </c>
      <c r="B1024" s="58" t="s">
        <v>2831</v>
      </c>
      <c r="C1024" s="58" t="s">
        <v>2832</v>
      </c>
    </row>
    <row r="1025" spans="1:3">
      <c r="A1025" s="58" t="s">
        <v>2833</v>
      </c>
      <c r="B1025" s="58" t="s">
        <v>2834</v>
      </c>
      <c r="C1025" s="58" t="s">
        <v>2835</v>
      </c>
    </row>
    <row r="1026" spans="1:3">
      <c r="A1026" s="58" t="s">
        <v>2836</v>
      </c>
      <c r="B1026" s="58" t="s">
        <v>2837</v>
      </c>
      <c r="C1026" s="58" t="s">
        <v>2838</v>
      </c>
    </row>
    <row r="1027" spans="1:3">
      <c r="A1027" s="58" t="s">
        <v>2839</v>
      </c>
      <c r="B1027" s="58" t="s">
        <v>2840</v>
      </c>
      <c r="C1027" s="58" t="s">
        <v>2841</v>
      </c>
    </row>
    <row r="1028" spans="1:3">
      <c r="A1028" s="58" t="s">
        <v>2842</v>
      </c>
      <c r="B1028" s="58" t="s">
        <v>2843</v>
      </c>
      <c r="C1028" s="58" t="s">
        <v>2844</v>
      </c>
    </row>
    <row r="1029" spans="1:3">
      <c r="A1029" s="58" t="s">
        <v>2845</v>
      </c>
      <c r="B1029" s="58" t="s">
        <v>2846</v>
      </c>
      <c r="C1029" s="58" t="s">
        <v>2847</v>
      </c>
    </row>
    <row r="1030" spans="1:3">
      <c r="A1030" s="58" t="s">
        <v>2848</v>
      </c>
      <c r="B1030" s="58" t="s">
        <v>2849</v>
      </c>
      <c r="C1030" s="58" t="s">
        <v>2850</v>
      </c>
    </row>
    <row r="1031" spans="1:3">
      <c r="A1031" s="58" t="s">
        <v>2851</v>
      </c>
      <c r="B1031" s="58" t="s">
        <v>2852</v>
      </c>
      <c r="C1031" s="58" t="s">
        <v>2853</v>
      </c>
    </row>
    <row r="1032" spans="1:3">
      <c r="A1032" s="58" t="s">
        <v>2854</v>
      </c>
      <c r="B1032" s="58" t="s">
        <v>2855</v>
      </c>
      <c r="C1032" s="58" t="s">
        <v>2856</v>
      </c>
    </row>
    <row r="1033" spans="1:3">
      <c r="A1033" s="58" t="s">
        <v>2857</v>
      </c>
      <c r="B1033" s="58" t="s">
        <v>2858</v>
      </c>
      <c r="C1033" s="58" t="s">
        <v>2859</v>
      </c>
    </row>
    <row r="1034" spans="1:3">
      <c r="A1034" s="58" t="s">
        <v>2860</v>
      </c>
      <c r="B1034" s="58" t="s">
        <v>2861</v>
      </c>
      <c r="C1034" s="58" t="s">
        <v>2862</v>
      </c>
    </row>
    <row r="1035" spans="1:3">
      <c r="A1035" s="58" t="s">
        <v>2863</v>
      </c>
      <c r="B1035" s="58" t="s">
        <v>2864</v>
      </c>
      <c r="C1035" s="58" t="s">
        <v>2865</v>
      </c>
    </row>
    <row r="1036" spans="1:3">
      <c r="A1036" s="58" t="s">
        <v>2866</v>
      </c>
      <c r="B1036" s="58" t="s">
        <v>2864</v>
      </c>
      <c r="C1036" s="58" t="s">
        <v>2865</v>
      </c>
    </row>
    <row r="1037" spans="1:3">
      <c r="A1037" s="58" t="s">
        <v>2867</v>
      </c>
      <c r="B1037" s="58" t="s">
        <v>2868</v>
      </c>
      <c r="C1037" s="58" t="s">
        <v>2869</v>
      </c>
    </row>
    <row r="1038" spans="1:3">
      <c r="A1038" s="58" t="s">
        <v>2870</v>
      </c>
      <c r="B1038" s="58" t="s">
        <v>2871</v>
      </c>
      <c r="C1038" s="58" t="s">
        <v>2872</v>
      </c>
    </row>
    <row r="1039" spans="1:3">
      <c r="A1039" s="58" t="s">
        <v>2873</v>
      </c>
      <c r="B1039" s="58" t="s">
        <v>2874</v>
      </c>
      <c r="C1039" s="58" t="s">
        <v>2875</v>
      </c>
    </row>
    <row r="1040" spans="1:3">
      <c r="A1040" s="58" t="s">
        <v>2876</v>
      </c>
      <c r="B1040" s="58" t="s">
        <v>2877</v>
      </c>
      <c r="C1040" s="58" t="s">
        <v>2878</v>
      </c>
    </row>
    <row r="1041" spans="1:3">
      <c r="A1041" s="58" t="s">
        <v>2879</v>
      </c>
      <c r="B1041" s="58" t="s">
        <v>2880</v>
      </c>
      <c r="C1041" s="58" t="s">
        <v>2881</v>
      </c>
    </row>
    <row r="1042" spans="1:3">
      <c r="A1042" s="58" t="s">
        <v>2882</v>
      </c>
      <c r="B1042" s="58" t="s">
        <v>2883</v>
      </c>
      <c r="C1042" s="58" t="s">
        <v>2884</v>
      </c>
    </row>
    <row r="1043" spans="1:3">
      <c r="A1043" s="58" t="s">
        <v>2885</v>
      </c>
      <c r="B1043" s="58" t="s">
        <v>2886</v>
      </c>
      <c r="C1043" s="58" t="s">
        <v>2887</v>
      </c>
    </row>
    <row r="1044" spans="1:3">
      <c r="A1044" s="58" t="s">
        <v>2888</v>
      </c>
      <c r="B1044" s="58" t="s">
        <v>2889</v>
      </c>
      <c r="C1044" s="58" t="s">
        <v>2890</v>
      </c>
    </row>
    <row r="1045" spans="1:3">
      <c r="A1045" s="58" t="s">
        <v>2891</v>
      </c>
      <c r="B1045" s="58" t="s">
        <v>2892</v>
      </c>
      <c r="C1045" s="58" t="s">
        <v>2893</v>
      </c>
    </row>
    <row r="1046" spans="1:3">
      <c r="A1046" s="58" t="s">
        <v>2894</v>
      </c>
      <c r="B1046" s="58" t="s">
        <v>2895</v>
      </c>
      <c r="C1046" s="58" t="s">
        <v>2896</v>
      </c>
    </row>
    <row r="1047" spans="1:3">
      <c r="A1047" s="58" t="s">
        <v>2897</v>
      </c>
      <c r="B1047" s="58" t="s">
        <v>2898</v>
      </c>
      <c r="C1047" s="58" t="s">
        <v>2899</v>
      </c>
    </row>
    <row r="1048" spans="1:3">
      <c r="A1048" s="58" t="s">
        <v>2900</v>
      </c>
      <c r="B1048" s="58" t="s">
        <v>2901</v>
      </c>
      <c r="C1048" s="58" t="s">
        <v>2902</v>
      </c>
    </row>
    <row r="1049" spans="1:3">
      <c r="A1049" s="58" t="s">
        <v>2903</v>
      </c>
      <c r="B1049" s="58" t="s">
        <v>2904</v>
      </c>
      <c r="C1049" s="58" t="s">
        <v>2905</v>
      </c>
    </row>
    <row r="1050" spans="1:3">
      <c r="A1050" s="58" t="s">
        <v>2906</v>
      </c>
      <c r="B1050" s="58" t="s">
        <v>2907</v>
      </c>
      <c r="C1050" s="58" t="s">
        <v>2908</v>
      </c>
    </row>
    <row r="1051" spans="1:3">
      <c r="A1051" s="58" t="s">
        <v>2909</v>
      </c>
      <c r="B1051" s="58" t="s">
        <v>2910</v>
      </c>
      <c r="C1051" s="58" t="s">
        <v>2911</v>
      </c>
    </row>
    <row r="1052" spans="1:3">
      <c r="A1052" s="58" t="s">
        <v>2912</v>
      </c>
      <c r="B1052" s="58" t="s">
        <v>2913</v>
      </c>
      <c r="C1052" s="58" t="s">
        <v>2914</v>
      </c>
    </row>
    <row r="1053" spans="1:3">
      <c r="A1053" s="58" t="s">
        <v>2915</v>
      </c>
      <c r="B1053" s="58" t="s">
        <v>2916</v>
      </c>
      <c r="C1053" s="58" t="s">
        <v>2917</v>
      </c>
    </row>
    <row r="1054" spans="1:3">
      <c r="A1054" s="58" t="s">
        <v>2918</v>
      </c>
      <c r="B1054" s="58" t="s">
        <v>2919</v>
      </c>
      <c r="C1054" s="58" t="s">
        <v>2920</v>
      </c>
    </row>
    <row r="1055" spans="1:3">
      <c r="A1055" s="58" t="s">
        <v>2921</v>
      </c>
      <c r="B1055" s="58" t="s">
        <v>2922</v>
      </c>
      <c r="C1055" s="58" t="s">
        <v>2923</v>
      </c>
    </row>
    <row r="1056" spans="1:3">
      <c r="A1056" s="58" t="s">
        <v>2924</v>
      </c>
      <c r="B1056" s="58" t="s">
        <v>2925</v>
      </c>
      <c r="C1056" s="58" t="s">
        <v>2926</v>
      </c>
    </row>
    <row r="1057" spans="1:3">
      <c r="A1057" s="58" t="s">
        <v>2927</v>
      </c>
      <c r="B1057" s="58" t="s">
        <v>2928</v>
      </c>
      <c r="C1057" s="58" t="s">
        <v>2929</v>
      </c>
    </row>
    <row r="1058" spans="1:3">
      <c r="A1058" s="58" t="s">
        <v>2930</v>
      </c>
      <c r="B1058" s="58" t="s">
        <v>2931</v>
      </c>
      <c r="C1058" s="58" t="s">
        <v>2932</v>
      </c>
    </row>
    <row r="1059" spans="1:3">
      <c r="A1059" s="58" t="s">
        <v>2933</v>
      </c>
      <c r="B1059" s="58" t="s">
        <v>2934</v>
      </c>
      <c r="C1059" s="58" t="s">
        <v>2935</v>
      </c>
    </row>
    <row r="1060" spans="1:3">
      <c r="A1060" s="58" t="s">
        <v>2936</v>
      </c>
      <c r="B1060" s="58" t="s">
        <v>2937</v>
      </c>
      <c r="C1060" s="58" t="s">
        <v>2938</v>
      </c>
    </row>
    <row r="1061" spans="1:3">
      <c r="A1061" s="58" t="s">
        <v>2939</v>
      </c>
      <c r="B1061" s="58" t="s">
        <v>2940</v>
      </c>
      <c r="C1061" s="58" t="s">
        <v>2941</v>
      </c>
    </row>
    <row r="1062" spans="1:3">
      <c r="A1062" s="58" t="s">
        <v>2942</v>
      </c>
      <c r="B1062" s="58" t="s">
        <v>2943</v>
      </c>
      <c r="C1062" s="58" t="s">
        <v>2944</v>
      </c>
    </row>
    <row r="1063" spans="1:3">
      <c r="A1063" s="58" t="s">
        <v>2945</v>
      </c>
      <c r="B1063" s="58" t="s">
        <v>2946</v>
      </c>
      <c r="C1063" s="58" t="s">
        <v>2947</v>
      </c>
    </row>
    <row r="1064" spans="1:3">
      <c r="A1064" s="58" t="s">
        <v>2948</v>
      </c>
      <c r="B1064" s="58" t="s">
        <v>2946</v>
      </c>
      <c r="C1064" s="58" t="s">
        <v>2947</v>
      </c>
    </row>
    <row r="1065" spans="1:3">
      <c r="A1065" s="58" t="s">
        <v>2949</v>
      </c>
      <c r="B1065" s="58" t="s">
        <v>2950</v>
      </c>
      <c r="C1065" s="58" t="s">
        <v>2951</v>
      </c>
    </row>
    <row r="1066" spans="1:3">
      <c r="A1066" s="58" t="s">
        <v>2952</v>
      </c>
      <c r="B1066" s="58" t="s">
        <v>2953</v>
      </c>
      <c r="C1066" s="58" t="s">
        <v>2954</v>
      </c>
    </row>
    <row r="1067" spans="1:3">
      <c r="A1067" s="58" t="s">
        <v>2955</v>
      </c>
      <c r="B1067" s="58" t="s">
        <v>2956</v>
      </c>
      <c r="C1067" s="58" t="s">
        <v>2957</v>
      </c>
    </row>
    <row r="1068" spans="1:3">
      <c r="A1068" s="58" t="s">
        <v>2958</v>
      </c>
      <c r="B1068" s="58" t="s">
        <v>2959</v>
      </c>
      <c r="C1068" s="58" t="s">
        <v>2960</v>
      </c>
    </row>
    <row r="1069" spans="1:3">
      <c r="A1069" s="58" t="s">
        <v>2961</v>
      </c>
      <c r="B1069" s="58" t="s">
        <v>2962</v>
      </c>
      <c r="C1069" s="58" t="s">
        <v>2963</v>
      </c>
    </row>
    <row r="1070" spans="1:3">
      <c r="A1070" s="58" t="s">
        <v>2964</v>
      </c>
      <c r="B1070" s="58" t="s">
        <v>2965</v>
      </c>
      <c r="C1070" s="58" t="s">
        <v>2966</v>
      </c>
    </row>
    <row r="1071" spans="1:3">
      <c r="A1071" s="58" t="s">
        <v>2967</v>
      </c>
      <c r="B1071" s="58" t="s">
        <v>2968</v>
      </c>
      <c r="C1071" s="58" t="s">
        <v>2969</v>
      </c>
    </row>
    <row r="1072" spans="1:3">
      <c r="A1072" s="58" t="s">
        <v>2970</v>
      </c>
      <c r="B1072" s="58" t="s">
        <v>2971</v>
      </c>
      <c r="C1072" s="58" t="s">
        <v>2972</v>
      </c>
    </row>
    <row r="1073" spans="1:3">
      <c r="A1073" s="58" t="s">
        <v>2973</v>
      </c>
      <c r="B1073" s="58" t="s">
        <v>2974</v>
      </c>
      <c r="C1073" s="58" t="s">
        <v>2975</v>
      </c>
    </row>
    <row r="1074" spans="1:3">
      <c r="A1074" s="58" t="s">
        <v>2976</v>
      </c>
      <c r="B1074" s="58" t="s">
        <v>2977</v>
      </c>
      <c r="C1074" s="58" t="s">
        <v>2978</v>
      </c>
    </row>
    <row r="1075" spans="1:3">
      <c r="A1075" s="58" t="s">
        <v>2979</v>
      </c>
      <c r="B1075" s="58" t="s">
        <v>2980</v>
      </c>
      <c r="C1075" s="58" t="s">
        <v>2981</v>
      </c>
    </row>
    <row r="1076" spans="1:3">
      <c r="A1076" s="58" t="s">
        <v>2982</v>
      </c>
      <c r="B1076" s="58" t="s">
        <v>2983</v>
      </c>
      <c r="C1076" s="58" t="s">
        <v>2984</v>
      </c>
    </row>
    <row r="1077" spans="1:3">
      <c r="A1077" s="58" t="s">
        <v>2985</v>
      </c>
      <c r="B1077" s="58" t="s">
        <v>2986</v>
      </c>
      <c r="C1077" s="58" t="s">
        <v>2987</v>
      </c>
    </row>
    <row r="1078" spans="1:3">
      <c r="A1078" s="58" t="s">
        <v>2988</v>
      </c>
      <c r="B1078" s="58" t="s">
        <v>2989</v>
      </c>
      <c r="C1078" s="58" t="s">
        <v>2990</v>
      </c>
    </row>
    <row r="1079" spans="1:3">
      <c r="A1079" s="58" t="s">
        <v>2991</v>
      </c>
      <c r="B1079" s="58" t="s">
        <v>2992</v>
      </c>
      <c r="C1079" s="58" t="s">
        <v>2993</v>
      </c>
    </row>
    <row r="1080" spans="1:3">
      <c r="A1080" s="58" t="s">
        <v>2994</v>
      </c>
      <c r="B1080" s="58" t="s">
        <v>2995</v>
      </c>
      <c r="C1080" s="58" t="s">
        <v>2996</v>
      </c>
    </row>
    <row r="1081" spans="1:3">
      <c r="A1081" s="58" t="s">
        <v>2997</v>
      </c>
      <c r="B1081" s="58" t="s">
        <v>2998</v>
      </c>
      <c r="C1081" s="58" t="s">
        <v>2999</v>
      </c>
    </row>
    <row r="1082" spans="1:3">
      <c r="A1082" s="58" t="s">
        <v>3000</v>
      </c>
      <c r="B1082" s="58" t="s">
        <v>3001</v>
      </c>
      <c r="C1082" s="58" t="s">
        <v>3002</v>
      </c>
    </row>
    <row r="1083" spans="1:3">
      <c r="A1083" s="58" t="s">
        <v>3003</v>
      </c>
      <c r="B1083" s="58" t="s">
        <v>3004</v>
      </c>
      <c r="C1083" s="58" t="s">
        <v>3005</v>
      </c>
    </row>
    <row r="1084" spans="1:3">
      <c r="A1084" s="58" t="s">
        <v>3006</v>
      </c>
      <c r="B1084" s="58" t="s">
        <v>3007</v>
      </c>
      <c r="C1084" s="58" t="s">
        <v>3008</v>
      </c>
    </row>
    <row r="1085" spans="1:3">
      <c r="A1085" s="58" t="s">
        <v>3009</v>
      </c>
      <c r="B1085" s="58" t="s">
        <v>3010</v>
      </c>
      <c r="C1085" s="58" t="s">
        <v>3011</v>
      </c>
    </row>
    <row r="1086" spans="1:3">
      <c r="A1086" s="58" t="s">
        <v>3012</v>
      </c>
      <c r="B1086" s="58" t="s">
        <v>3013</v>
      </c>
      <c r="C1086" s="58" t="s">
        <v>3014</v>
      </c>
    </row>
    <row r="1087" spans="1:3">
      <c r="A1087" s="58" t="s">
        <v>3015</v>
      </c>
      <c r="B1087" s="58" t="s">
        <v>3016</v>
      </c>
      <c r="C1087" s="58" t="s">
        <v>3017</v>
      </c>
    </row>
    <row r="1088" spans="1:3">
      <c r="A1088" s="58" t="s">
        <v>3018</v>
      </c>
      <c r="B1088" s="58" t="s">
        <v>3019</v>
      </c>
      <c r="C1088" s="58" t="s">
        <v>3020</v>
      </c>
    </row>
    <row r="1089" spans="1:3">
      <c r="A1089" s="58" t="s">
        <v>3021</v>
      </c>
      <c r="B1089" s="58" t="s">
        <v>3022</v>
      </c>
      <c r="C1089" s="58" t="s">
        <v>3023</v>
      </c>
    </row>
    <row r="1090" spans="1:3">
      <c r="A1090" s="58" t="s">
        <v>3024</v>
      </c>
      <c r="B1090" s="58" t="s">
        <v>3025</v>
      </c>
      <c r="C1090" s="58" t="s">
        <v>3026</v>
      </c>
    </row>
    <row r="1091" spans="1:3">
      <c r="A1091" s="58" t="s">
        <v>3027</v>
      </c>
      <c r="B1091" s="58" t="s">
        <v>3028</v>
      </c>
      <c r="C1091" s="58" t="s">
        <v>3029</v>
      </c>
    </row>
    <row r="1092" spans="1:3">
      <c r="A1092" s="58" t="s">
        <v>3030</v>
      </c>
      <c r="B1092" s="58" t="s">
        <v>3031</v>
      </c>
      <c r="C1092" s="58" t="s">
        <v>3032</v>
      </c>
    </row>
    <row r="1093" spans="1:3">
      <c r="A1093" s="58" t="s">
        <v>3033</v>
      </c>
      <c r="B1093" s="58" t="s">
        <v>3034</v>
      </c>
      <c r="C1093" s="58" t="s">
        <v>3035</v>
      </c>
    </row>
    <row r="1094" spans="1:3">
      <c r="A1094" s="58" t="s">
        <v>3036</v>
      </c>
      <c r="B1094" s="58" t="s">
        <v>3037</v>
      </c>
      <c r="C1094" s="58" t="s">
        <v>3038</v>
      </c>
    </row>
    <row r="1095" spans="1:3">
      <c r="A1095" s="58" t="s">
        <v>3039</v>
      </c>
      <c r="B1095" s="58" t="s">
        <v>3040</v>
      </c>
      <c r="C1095" s="58" t="s">
        <v>3041</v>
      </c>
    </row>
    <row r="1096" spans="1:3">
      <c r="A1096" s="58" t="s">
        <v>3042</v>
      </c>
      <c r="B1096" s="58" t="s">
        <v>3043</v>
      </c>
      <c r="C1096" s="58" t="s">
        <v>3044</v>
      </c>
    </row>
    <row r="1097" spans="1:3">
      <c r="A1097" s="58" t="s">
        <v>3045</v>
      </c>
      <c r="B1097" s="58" t="s">
        <v>3046</v>
      </c>
      <c r="C1097" s="58" t="s">
        <v>3047</v>
      </c>
    </row>
    <row r="1098" spans="1:3">
      <c r="A1098" s="58" t="s">
        <v>3048</v>
      </c>
      <c r="B1098" s="58" t="s">
        <v>3049</v>
      </c>
      <c r="C1098" s="58" t="s">
        <v>3050</v>
      </c>
    </row>
    <row r="1099" spans="1:3">
      <c r="A1099" s="58" t="s">
        <v>3051</v>
      </c>
      <c r="B1099" s="58" t="s">
        <v>3052</v>
      </c>
      <c r="C1099" s="58" t="s">
        <v>3053</v>
      </c>
    </row>
    <row r="1100" spans="1:3">
      <c r="A1100" s="58" t="s">
        <v>3054</v>
      </c>
      <c r="B1100" s="58" t="s">
        <v>3055</v>
      </c>
      <c r="C1100" s="58" t="s">
        <v>3056</v>
      </c>
    </row>
    <row r="1101" spans="1:3">
      <c r="A1101" s="58" t="s">
        <v>3057</v>
      </c>
      <c r="B1101" s="58" t="s">
        <v>3058</v>
      </c>
      <c r="C1101" s="58" t="s">
        <v>3059</v>
      </c>
    </row>
    <row r="1102" spans="1:3">
      <c r="A1102" s="58" t="s">
        <v>3060</v>
      </c>
      <c r="B1102" s="58" t="s">
        <v>3061</v>
      </c>
      <c r="C1102" s="58" t="s">
        <v>3062</v>
      </c>
    </row>
    <row r="1103" spans="1:3">
      <c r="A1103" s="58" t="s">
        <v>3063</v>
      </c>
      <c r="B1103" s="58" t="s">
        <v>3064</v>
      </c>
      <c r="C1103" s="58" t="s">
        <v>3065</v>
      </c>
    </row>
    <row r="1104" spans="1:3">
      <c r="A1104" s="58" t="s">
        <v>3066</v>
      </c>
      <c r="B1104" s="58" t="s">
        <v>3067</v>
      </c>
      <c r="C1104" s="58" t="s">
        <v>3068</v>
      </c>
    </row>
    <row r="1105" spans="1:3">
      <c r="A1105" s="58" t="s">
        <v>3069</v>
      </c>
      <c r="B1105" s="58" t="s">
        <v>3070</v>
      </c>
      <c r="C1105" s="58" t="s">
        <v>3071</v>
      </c>
    </row>
    <row r="1106" spans="1:3">
      <c r="A1106" s="58" t="s">
        <v>3072</v>
      </c>
      <c r="B1106" s="58" t="s">
        <v>3073</v>
      </c>
      <c r="C1106" s="58" t="s">
        <v>3074</v>
      </c>
    </row>
    <row r="1107" spans="1:3">
      <c r="A1107" s="58" t="s">
        <v>3075</v>
      </c>
      <c r="B1107" s="58" t="s">
        <v>3076</v>
      </c>
      <c r="C1107" s="58" t="s">
        <v>3077</v>
      </c>
    </row>
    <row r="1108" spans="1:3">
      <c r="A1108" s="58" t="s">
        <v>3078</v>
      </c>
      <c r="B1108" s="58" t="s">
        <v>3079</v>
      </c>
      <c r="C1108" s="58" t="s">
        <v>3080</v>
      </c>
    </row>
    <row r="1109" spans="1:3">
      <c r="A1109" s="58" t="s">
        <v>3081</v>
      </c>
      <c r="B1109" s="58" t="s">
        <v>3082</v>
      </c>
      <c r="C1109" s="58" t="s">
        <v>3083</v>
      </c>
    </row>
    <row r="1110" spans="1:3">
      <c r="A1110" s="58" t="s">
        <v>3084</v>
      </c>
      <c r="B1110" s="58" t="s">
        <v>3085</v>
      </c>
      <c r="C1110" s="58" t="s">
        <v>3086</v>
      </c>
    </row>
    <row r="1111" spans="1:3">
      <c r="A1111" s="58" t="s">
        <v>3087</v>
      </c>
      <c r="B1111" s="58" t="s">
        <v>3085</v>
      </c>
      <c r="C1111" s="58" t="s">
        <v>3086</v>
      </c>
    </row>
    <row r="1112" spans="1:3">
      <c r="A1112" s="58" t="s">
        <v>3088</v>
      </c>
      <c r="B1112" s="58" t="s">
        <v>3085</v>
      </c>
      <c r="C1112" s="58" t="s">
        <v>3086</v>
      </c>
    </row>
    <row r="1113" spans="1:3">
      <c r="A1113" s="58" t="s">
        <v>3089</v>
      </c>
      <c r="B1113" s="58" t="s">
        <v>3090</v>
      </c>
      <c r="C1113" s="58" t="s">
        <v>3091</v>
      </c>
    </row>
    <row r="1114" spans="1:3">
      <c r="A1114" s="58" t="s">
        <v>3092</v>
      </c>
      <c r="B1114" s="58" t="s">
        <v>3093</v>
      </c>
      <c r="C1114" s="58" t="s">
        <v>3094</v>
      </c>
    </row>
    <row r="1115" spans="1:3">
      <c r="A1115" s="58" t="s">
        <v>3095</v>
      </c>
      <c r="B1115" s="58" t="s">
        <v>3096</v>
      </c>
      <c r="C1115" s="58" t="s">
        <v>3097</v>
      </c>
    </row>
    <row r="1116" spans="1:3">
      <c r="A1116" s="58" t="s">
        <v>3098</v>
      </c>
      <c r="B1116" s="58" t="s">
        <v>3099</v>
      </c>
      <c r="C1116" s="58" t="s">
        <v>3100</v>
      </c>
    </row>
    <row r="1117" spans="1:3">
      <c r="A1117" s="58" t="s">
        <v>3101</v>
      </c>
      <c r="B1117" s="58" t="s">
        <v>3102</v>
      </c>
      <c r="C1117" s="58" t="s">
        <v>3103</v>
      </c>
    </row>
    <row r="1118" spans="1:3">
      <c r="A1118" s="58" t="s">
        <v>3104</v>
      </c>
      <c r="B1118" s="58" t="s">
        <v>3105</v>
      </c>
      <c r="C1118" s="58" t="s">
        <v>3106</v>
      </c>
    </row>
    <row r="1119" spans="1:3">
      <c r="A1119" s="58" t="s">
        <v>3107</v>
      </c>
      <c r="B1119" s="58" t="s">
        <v>3108</v>
      </c>
      <c r="C1119" s="58" t="s">
        <v>3109</v>
      </c>
    </row>
    <row r="1120" spans="1:3">
      <c r="A1120" s="58" t="s">
        <v>3110</v>
      </c>
      <c r="B1120" s="58" t="s">
        <v>3111</v>
      </c>
      <c r="C1120" s="58" t="s">
        <v>3112</v>
      </c>
    </row>
    <row r="1121" spans="1:3">
      <c r="A1121" s="58" t="s">
        <v>3113</v>
      </c>
      <c r="B1121" s="58" t="s">
        <v>3114</v>
      </c>
      <c r="C1121" s="58" t="s">
        <v>3115</v>
      </c>
    </row>
    <row r="1122" spans="1:3">
      <c r="A1122" s="58" t="s">
        <v>3116</v>
      </c>
      <c r="B1122" s="58" t="s">
        <v>3117</v>
      </c>
      <c r="C1122" s="58" t="s">
        <v>3118</v>
      </c>
    </row>
    <row r="1123" spans="1:3">
      <c r="A1123" s="58" t="s">
        <v>3119</v>
      </c>
      <c r="B1123" s="58" t="s">
        <v>3117</v>
      </c>
      <c r="C1123" s="58" t="s">
        <v>3118</v>
      </c>
    </row>
    <row r="1124" spans="1:3">
      <c r="A1124" s="58" t="s">
        <v>3120</v>
      </c>
      <c r="B1124" s="58" t="s">
        <v>3121</v>
      </c>
      <c r="C1124" s="58" t="s">
        <v>3122</v>
      </c>
    </row>
    <row r="1125" spans="1:3">
      <c r="A1125" s="58" t="s">
        <v>3123</v>
      </c>
      <c r="B1125" s="58" t="s">
        <v>3124</v>
      </c>
      <c r="C1125" s="58" t="s">
        <v>3125</v>
      </c>
    </row>
    <row r="1126" spans="1:3">
      <c r="A1126" s="58" t="s">
        <v>3126</v>
      </c>
      <c r="B1126" s="58" t="s">
        <v>3127</v>
      </c>
      <c r="C1126" s="58" t="s">
        <v>3128</v>
      </c>
    </row>
    <row r="1127" spans="1:3">
      <c r="A1127" s="58" t="s">
        <v>3129</v>
      </c>
      <c r="B1127" s="58" t="s">
        <v>3130</v>
      </c>
      <c r="C1127" s="58" t="s">
        <v>3131</v>
      </c>
    </row>
    <row r="1128" spans="1:3">
      <c r="A1128" s="58" t="s">
        <v>3132</v>
      </c>
      <c r="B1128" s="58" t="s">
        <v>3133</v>
      </c>
      <c r="C1128" s="58" t="s">
        <v>3134</v>
      </c>
    </row>
    <row r="1129" spans="1:3">
      <c r="A1129" s="58" t="s">
        <v>3135</v>
      </c>
      <c r="B1129" s="58" t="s">
        <v>3136</v>
      </c>
      <c r="C1129" s="58" t="s">
        <v>3137</v>
      </c>
    </row>
    <row r="1130" spans="1:3">
      <c r="A1130" s="58" t="s">
        <v>3138</v>
      </c>
      <c r="B1130" s="58" t="s">
        <v>3139</v>
      </c>
      <c r="C1130" s="58" t="s">
        <v>3140</v>
      </c>
    </row>
    <row r="1131" spans="1:3">
      <c r="A1131" s="58" t="s">
        <v>3141</v>
      </c>
      <c r="B1131" s="58" t="s">
        <v>3142</v>
      </c>
      <c r="C1131" s="58" t="s">
        <v>3143</v>
      </c>
    </row>
    <row r="1132" spans="1:3">
      <c r="A1132" s="58" t="s">
        <v>3144</v>
      </c>
      <c r="B1132" s="58" t="s">
        <v>3145</v>
      </c>
      <c r="C1132" s="58" t="s">
        <v>3146</v>
      </c>
    </row>
    <row r="1133" spans="1:3">
      <c r="A1133" s="58" t="s">
        <v>3147</v>
      </c>
      <c r="B1133" s="58" t="s">
        <v>3148</v>
      </c>
      <c r="C1133" s="58" t="s">
        <v>3149</v>
      </c>
    </row>
    <row r="1134" spans="1:3">
      <c r="A1134" s="58" t="s">
        <v>3150</v>
      </c>
      <c r="B1134" s="58" t="s">
        <v>3151</v>
      </c>
      <c r="C1134" s="58" t="s">
        <v>3152</v>
      </c>
    </row>
    <row r="1135" spans="1:3">
      <c r="A1135" s="58" t="s">
        <v>3153</v>
      </c>
      <c r="B1135" s="58" t="s">
        <v>3154</v>
      </c>
      <c r="C1135" s="58" t="s">
        <v>3155</v>
      </c>
    </row>
    <row r="1136" spans="1:3">
      <c r="A1136" s="58" t="s">
        <v>3156</v>
      </c>
      <c r="B1136" s="58" t="s">
        <v>3157</v>
      </c>
      <c r="C1136" s="58" t="s">
        <v>3158</v>
      </c>
    </row>
    <row r="1137" spans="1:3">
      <c r="A1137" s="58" t="s">
        <v>3159</v>
      </c>
      <c r="B1137" s="58" t="s">
        <v>3160</v>
      </c>
      <c r="C1137" s="58" t="s">
        <v>3161</v>
      </c>
    </row>
    <row r="1138" spans="1:3">
      <c r="A1138" s="58" t="s">
        <v>3162</v>
      </c>
      <c r="B1138" s="58" t="s">
        <v>3163</v>
      </c>
      <c r="C1138" s="58" t="s">
        <v>3164</v>
      </c>
    </row>
    <row r="1139" spans="1:3">
      <c r="A1139" s="58" t="s">
        <v>3165</v>
      </c>
      <c r="B1139" s="58" t="s">
        <v>3166</v>
      </c>
      <c r="C1139" s="58" t="s">
        <v>3167</v>
      </c>
    </row>
    <row r="1140" spans="1:3">
      <c r="A1140" s="58" t="s">
        <v>3168</v>
      </c>
      <c r="B1140" s="58" t="s">
        <v>3169</v>
      </c>
      <c r="C1140" s="58" t="s">
        <v>3170</v>
      </c>
    </row>
    <row r="1141" spans="1:3">
      <c r="A1141" s="58" t="s">
        <v>3171</v>
      </c>
      <c r="B1141" s="58" t="s">
        <v>3169</v>
      </c>
      <c r="C1141" s="58" t="s">
        <v>3170</v>
      </c>
    </row>
    <row r="1142" spans="1:3">
      <c r="A1142" s="58" t="s">
        <v>3172</v>
      </c>
      <c r="B1142" s="58" t="s">
        <v>3173</v>
      </c>
      <c r="C1142" s="58" t="s">
        <v>3174</v>
      </c>
    </row>
    <row r="1143" spans="1:3">
      <c r="A1143" s="58" t="s">
        <v>3175</v>
      </c>
      <c r="B1143" s="58" t="s">
        <v>3176</v>
      </c>
      <c r="C1143" s="58" t="s">
        <v>3177</v>
      </c>
    </row>
    <row r="1144" spans="1:3">
      <c r="A1144" s="58" t="s">
        <v>3178</v>
      </c>
      <c r="B1144" s="58" t="s">
        <v>3179</v>
      </c>
      <c r="C1144" s="58" t="s">
        <v>3180</v>
      </c>
    </row>
    <row r="1145" spans="1:3">
      <c r="A1145" s="58" t="s">
        <v>3181</v>
      </c>
      <c r="B1145" s="58" t="s">
        <v>3182</v>
      </c>
      <c r="C1145" s="58" t="s">
        <v>3183</v>
      </c>
    </row>
    <row r="1146" spans="1:3">
      <c r="A1146" s="58" t="s">
        <v>3184</v>
      </c>
      <c r="B1146" s="58" t="s">
        <v>3185</v>
      </c>
      <c r="C1146" s="58" t="s">
        <v>3186</v>
      </c>
    </row>
    <row r="1147" spans="1:3">
      <c r="A1147" s="58" t="s">
        <v>3187</v>
      </c>
      <c r="B1147" s="58" t="s">
        <v>3188</v>
      </c>
      <c r="C1147" s="58" t="s">
        <v>3189</v>
      </c>
    </row>
    <row r="1148" spans="1:3">
      <c r="A1148" s="58" t="s">
        <v>3190</v>
      </c>
      <c r="B1148" s="58" t="s">
        <v>3191</v>
      </c>
      <c r="C1148" s="58" t="s">
        <v>3192</v>
      </c>
    </row>
    <row r="1149" spans="1:3">
      <c r="A1149" s="58" t="s">
        <v>3193</v>
      </c>
      <c r="B1149" s="58" t="s">
        <v>3194</v>
      </c>
      <c r="C1149" s="58" t="s">
        <v>3195</v>
      </c>
    </row>
    <row r="1150" spans="1:3">
      <c r="A1150" s="58" t="s">
        <v>3196</v>
      </c>
      <c r="B1150" s="58" t="s">
        <v>3197</v>
      </c>
      <c r="C1150" s="58" t="s">
        <v>3198</v>
      </c>
    </row>
    <row r="1151" spans="1:3">
      <c r="A1151" s="58" t="s">
        <v>3199</v>
      </c>
      <c r="B1151" s="58" t="s">
        <v>3200</v>
      </c>
      <c r="C1151" s="58" t="s">
        <v>3201</v>
      </c>
    </row>
    <row r="1152" spans="1:3">
      <c r="A1152" s="58" t="s">
        <v>3202</v>
      </c>
      <c r="B1152" s="58" t="s">
        <v>3200</v>
      </c>
      <c r="C1152" s="58" t="s">
        <v>3203</v>
      </c>
    </row>
    <row r="1153" spans="1:3">
      <c r="A1153" s="58" t="s">
        <v>3204</v>
      </c>
      <c r="B1153" s="58" t="s">
        <v>3205</v>
      </c>
      <c r="C1153" s="58" t="s">
        <v>3206</v>
      </c>
    </row>
    <row r="1154" spans="1:3">
      <c r="A1154" s="58" t="s">
        <v>3207</v>
      </c>
      <c r="B1154" s="58" t="s">
        <v>3205</v>
      </c>
      <c r="C1154" s="58" t="s">
        <v>3206</v>
      </c>
    </row>
    <row r="1155" spans="1:3">
      <c r="A1155" s="58" t="s">
        <v>3208</v>
      </c>
      <c r="B1155" s="58" t="s">
        <v>3209</v>
      </c>
      <c r="C1155" s="58" t="s">
        <v>3210</v>
      </c>
    </row>
    <row r="1156" spans="1:3">
      <c r="A1156" s="58" t="s">
        <v>3211</v>
      </c>
      <c r="B1156" s="58" t="s">
        <v>3212</v>
      </c>
      <c r="C1156" s="58" t="s">
        <v>3213</v>
      </c>
    </row>
    <row r="1157" spans="1:3">
      <c r="A1157" s="58" t="s">
        <v>3214</v>
      </c>
      <c r="B1157" s="58" t="s">
        <v>3215</v>
      </c>
      <c r="C1157" s="58" t="s">
        <v>3216</v>
      </c>
    </row>
    <row r="1158" spans="1:3">
      <c r="A1158" s="58" t="s">
        <v>3217</v>
      </c>
      <c r="B1158" s="58" t="s">
        <v>3218</v>
      </c>
      <c r="C1158" s="58" t="s">
        <v>3219</v>
      </c>
    </row>
    <row r="1159" spans="1:3">
      <c r="A1159" s="58" t="s">
        <v>3220</v>
      </c>
      <c r="B1159" s="58" t="s">
        <v>3221</v>
      </c>
      <c r="C1159" s="58" t="s">
        <v>3222</v>
      </c>
    </row>
    <row r="1160" spans="1:3">
      <c r="A1160" s="58" t="s">
        <v>3223</v>
      </c>
      <c r="B1160" s="58" t="s">
        <v>3224</v>
      </c>
      <c r="C1160" s="58" t="s">
        <v>3225</v>
      </c>
    </row>
    <row r="1161" spans="1:3">
      <c r="A1161" s="58" t="s">
        <v>3226</v>
      </c>
      <c r="B1161" s="58" t="s">
        <v>3227</v>
      </c>
      <c r="C1161" s="58" t="s">
        <v>3228</v>
      </c>
    </row>
    <row r="1162" spans="1:3">
      <c r="A1162" s="58" t="s">
        <v>3229</v>
      </c>
      <c r="B1162" s="58" t="s">
        <v>3227</v>
      </c>
      <c r="C1162" s="58" t="s">
        <v>3228</v>
      </c>
    </row>
    <row r="1163" spans="1:3">
      <c r="A1163" s="58" t="s">
        <v>3230</v>
      </c>
      <c r="B1163" s="58" t="s">
        <v>3231</v>
      </c>
      <c r="C1163" s="58" t="s">
        <v>3232</v>
      </c>
    </row>
    <row r="1164" spans="1:3">
      <c r="A1164" s="58" t="s">
        <v>3233</v>
      </c>
      <c r="B1164" s="58" t="s">
        <v>3234</v>
      </c>
      <c r="C1164" s="58" t="s">
        <v>3235</v>
      </c>
    </row>
    <row r="1165" spans="1:3">
      <c r="A1165" s="58" t="s">
        <v>3236</v>
      </c>
      <c r="B1165" s="58" t="s">
        <v>3237</v>
      </c>
      <c r="C1165" s="58" t="s">
        <v>3238</v>
      </c>
    </row>
    <row r="1166" spans="1:3">
      <c r="A1166" s="58" t="s">
        <v>3239</v>
      </c>
      <c r="B1166" s="58" t="s">
        <v>3240</v>
      </c>
      <c r="C1166" s="58" t="s">
        <v>3241</v>
      </c>
    </row>
    <row r="1167" spans="1:3">
      <c r="A1167" s="58" t="s">
        <v>3242</v>
      </c>
      <c r="B1167" s="58" t="s">
        <v>3243</v>
      </c>
      <c r="C1167" s="58" t="s">
        <v>3244</v>
      </c>
    </row>
    <row r="1168" spans="1:3">
      <c r="A1168" s="58" t="s">
        <v>3245</v>
      </c>
      <c r="B1168" s="58" t="s">
        <v>3246</v>
      </c>
      <c r="C1168" s="58" t="s">
        <v>3247</v>
      </c>
    </row>
    <row r="1169" spans="1:3">
      <c r="A1169" s="58" t="s">
        <v>3248</v>
      </c>
      <c r="B1169" s="58" t="s">
        <v>3249</v>
      </c>
      <c r="C1169" s="58" t="s">
        <v>3250</v>
      </c>
    </row>
    <row r="1170" spans="1:3">
      <c r="A1170" s="58" t="s">
        <v>3251</v>
      </c>
      <c r="B1170" s="58" t="s">
        <v>3252</v>
      </c>
      <c r="C1170" s="58" t="s">
        <v>3253</v>
      </c>
    </row>
    <row r="1171" spans="1:3">
      <c r="A1171" s="58" t="s">
        <v>3254</v>
      </c>
      <c r="B1171" s="58" t="s">
        <v>3255</v>
      </c>
      <c r="C1171" s="58" t="s">
        <v>3256</v>
      </c>
    </row>
    <row r="1172" spans="1:3">
      <c r="A1172" s="58" t="s">
        <v>3257</v>
      </c>
      <c r="B1172" s="58" t="s">
        <v>3258</v>
      </c>
      <c r="C1172" s="58" t="s">
        <v>3259</v>
      </c>
    </row>
    <row r="1173" spans="1:3">
      <c r="A1173" s="58" t="s">
        <v>3260</v>
      </c>
      <c r="B1173" s="58" t="s">
        <v>3258</v>
      </c>
      <c r="C1173" s="58" t="s">
        <v>3259</v>
      </c>
    </row>
    <row r="1174" spans="1:3">
      <c r="A1174" s="58" t="s">
        <v>3261</v>
      </c>
      <c r="B1174" s="58" t="s">
        <v>3262</v>
      </c>
      <c r="C1174" s="58" t="s">
        <v>3263</v>
      </c>
    </row>
    <row r="1175" spans="1:3">
      <c r="A1175" s="58" t="s">
        <v>3264</v>
      </c>
      <c r="B1175" s="58" t="s">
        <v>3265</v>
      </c>
      <c r="C1175" s="58" t="s">
        <v>3266</v>
      </c>
    </row>
    <row r="1176" spans="1:3">
      <c r="A1176" s="58" t="s">
        <v>3267</v>
      </c>
      <c r="B1176" s="58" t="s">
        <v>3268</v>
      </c>
      <c r="C1176" s="58" t="s">
        <v>3269</v>
      </c>
    </row>
    <row r="1177" spans="1:3">
      <c r="A1177" s="58" t="s">
        <v>3270</v>
      </c>
      <c r="B1177" s="58" t="s">
        <v>3271</v>
      </c>
      <c r="C1177" s="58" t="s">
        <v>3272</v>
      </c>
    </row>
    <row r="1178" spans="1:3">
      <c r="A1178" s="58" t="s">
        <v>3273</v>
      </c>
      <c r="B1178" s="58" t="s">
        <v>3271</v>
      </c>
      <c r="C1178" s="58" t="s">
        <v>3272</v>
      </c>
    </row>
    <row r="1179" spans="1:3">
      <c r="A1179" s="58" t="s">
        <v>3274</v>
      </c>
      <c r="B1179" s="58" t="s">
        <v>3275</v>
      </c>
      <c r="C1179" s="58" t="s">
        <v>3276</v>
      </c>
    </row>
    <row r="1180" spans="1:3">
      <c r="A1180" s="58" t="s">
        <v>3277</v>
      </c>
      <c r="B1180" s="58" t="s">
        <v>3278</v>
      </c>
      <c r="C1180" s="58" t="s">
        <v>3279</v>
      </c>
    </row>
    <row r="1181" spans="1:3">
      <c r="A1181" s="58" t="s">
        <v>3280</v>
      </c>
      <c r="B1181" s="58" t="s">
        <v>3281</v>
      </c>
      <c r="C1181" s="58" t="s">
        <v>3282</v>
      </c>
    </row>
    <row r="1182" spans="1:3">
      <c r="A1182" s="58" t="s">
        <v>3283</v>
      </c>
      <c r="B1182" s="58" t="s">
        <v>3284</v>
      </c>
      <c r="C1182" s="58" t="s">
        <v>3285</v>
      </c>
    </row>
    <row r="1183" spans="1:3">
      <c r="A1183" s="58" t="s">
        <v>3286</v>
      </c>
      <c r="B1183" s="58" t="s">
        <v>3287</v>
      </c>
      <c r="C1183" s="58" t="s">
        <v>3288</v>
      </c>
    </row>
    <row r="1184" spans="1:3">
      <c r="A1184" s="58" t="s">
        <v>3289</v>
      </c>
      <c r="B1184" s="58" t="s">
        <v>3290</v>
      </c>
      <c r="C1184" s="58" t="s">
        <v>3291</v>
      </c>
    </row>
    <row r="1185" spans="1:3">
      <c r="A1185" s="58" t="s">
        <v>3292</v>
      </c>
      <c r="B1185" s="58" t="s">
        <v>3293</v>
      </c>
      <c r="C1185" s="58" t="s">
        <v>3294</v>
      </c>
    </row>
    <row r="1186" spans="1:3">
      <c r="A1186" s="58" t="s">
        <v>3295</v>
      </c>
      <c r="B1186" s="58" t="s">
        <v>3296</v>
      </c>
      <c r="C1186" s="58" t="s">
        <v>3297</v>
      </c>
    </row>
    <row r="1187" spans="1:3">
      <c r="A1187" s="58" t="s">
        <v>3298</v>
      </c>
      <c r="B1187" s="58" t="s">
        <v>3299</v>
      </c>
      <c r="C1187" s="58" t="s">
        <v>3300</v>
      </c>
    </row>
    <row r="1188" spans="1:3">
      <c r="A1188" s="58" t="s">
        <v>3301</v>
      </c>
      <c r="B1188" s="58" t="s">
        <v>3302</v>
      </c>
      <c r="C1188" s="58" t="s">
        <v>3303</v>
      </c>
    </row>
    <row r="1189" spans="1:3">
      <c r="A1189" s="58" t="s">
        <v>3304</v>
      </c>
      <c r="B1189" s="58" t="s">
        <v>3305</v>
      </c>
      <c r="C1189" s="58" t="s">
        <v>3306</v>
      </c>
    </row>
    <row r="1190" spans="1:3">
      <c r="A1190" s="58" t="s">
        <v>3307</v>
      </c>
      <c r="B1190" s="58" t="s">
        <v>3308</v>
      </c>
      <c r="C1190" s="58" t="s">
        <v>3309</v>
      </c>
    </row>
    <row r="1191" spans="1:3">
      <c r="A1191" s="58" t="s">
        <v>3310</v>
      </c>
      <c r="B1191" s="58" t="s">
        <v>3311</v>
      </c>
      <c r="C1191" s="58" t="s">
        <v>3312</v>
      </c>
    </row>
    <row r="1192" spans="1:3">
      <c r="A1192" s="58" t="s">
        <v>3313</v>
      </c>
      <c r="B1192" s="58" t="s">
        <v>3314</v>
      </c>
      <c r="C1192" s="58" t="s">
        <v>3315</v>
      </c>
    </row>
    <row r="1193" spans="1:3">
      <c r="A1193" s="58" t="s">
        <v>3316</v>
      </c>
      <c r="B1193" s="58" t="s">
        <v>3317</v>
      </c>
      <c r="C1193" s="58" t="s">
        <v>3318</v>
      </c>
    </row>
    <row r="1194" spans="1:3">
      <c r="A1194" s="58" t="s">
        <v>3319</v>
      </c>
      <c r="B1194" s="58" t="s">
        <v>3320</v>
      </c>
      <c r="C1194" s="58" t="s">
        <v>3321</v>
      </c>
    </row>
    <row r="1195" spans="1:3">
      <c r="A1195" s="58" t="s">
        <v>3322</v>
      </c>
      <c r="B1195" s="58" t="s">
        <v>3323</v>
      </c>
      <c r="C1195" s="58" t="s">
        <v>3324</v>
      </c>
    </row>
    <row r="1196" spans="1:3">
      <c r="A1196" s="58" t="s">
        <v>3325</v>
      </c>
      <c r="B1196" s="58" t="s">
        <v>3326</v>
      </c>
      <c r="C1196" s="58" t="s">
        <v>3327</v>
      </c>
    </row>
    <row r="1197" spans="1:3">
      <c r="A1197" s="58" t="s">
        <v>3328</v>
      </c>
      <c r="B1197" s="58" t="s">
        <v>3329</v>
      </c>
      <c r="C1197" s="58" t="s">
        <v>3330</v>
      </c>
    </row>
    <row r="1198" spans="1:3">
      <c r="A1198" s="58" t="s">
        <v>3331</v>
      </c>
      <c r="B1198" s="58" t="s">
        <v>3329</v>
      </c>
      <c r="C1198" s="58" t="s">
        <v>3330</v>
      </c>
    </row>
    <row r="1199" spans="1:3">
      <c r="A1199" s="58" t="s">
        <v>3332</v>
      </c>
      <c r="B1199" s="58" t="s">
        <v>3333</v>
      </c>
      <c r="C1199" s="58" t="s">
        <v>3334</v>
      </c>
    </row>
    <row r="1200" spans="1:3">
      <c r="A1200" s="58" t="s">
        <v>3335</v>
      </c>
      <c r="B1200" s="58" t="s">
        <v>3336</v>
      </c>
      <c r="C1200" s="58" t="s">
        <v>3337</v>
      </c>
    </row>
    <row r="1201" spans="1:3">
      <c r="A1201" s="58" t="s">
        <v>3338</v>
      </c>
      <c r="B1201" s="58" t="s">
        <v>3339</v>
      </c>
      <c r="C1201" s="58" t="s">
        <v>3340</v>
      </c>
    </row>
    <row r="1202" spans="1:3">
      <c r="A1202" s="58" t="s">
        <v>3341</v>
      </c>
      <c r="B1202" s="58" t="s">
        <v>3342</v>
      </c>
      <c r="C1202" s="58" t="s">
        <v>3343</v>
      </c>
    </row>
    <row r="1203" spans="1:3">
      <c r="A1203" s="58" t="s">
        <v>3344</v>
      </c>
      <c r="B1203" s="58" t="s">
        <v>3345</v>
      </c>
      <c r="C1203" s="58" t="s">
        <v>3346</v>
      </c>
    </row>
    <row r="1204" spans="1:3">
      <c r="A1204" s="58" t="s">
        <v>3347</v>
      </c>
      <c r="B1204" s="58" t="s">
        <v>3348</v>
      </c>
      <c r="C1204" s="58" t="s">
        <v>3349</v>
      </c>
    </row>
    <row r="1205" spans="1:3">
      <c r="A1205" s="58" t="s">
        <v>3350</v>
      </c>
      <c r="B1205" s="58" t="s">
        <v>3351</v>
      </c>
      <c r="C1205" s="58" t="s">
        <v>3352</v>
      </c>
    </row>
    <row r="1206" spans="1:3">
      <c r="A1206" s="58" t="s">
        <v>3353</v>
      </c>
      <c r="B1206" s="58" t="s">
        <v>3354</v>
      </c>
      <c r="C1206" s="58" t="s">
        <v>3355</v>
      </c>
    </row>
    <row r="1207" spans="1:3">
      <c r="A1207" s="58" t="s">
        <v>3356</v>
      </c>
      <c r="B1207" s="58" t="s">
        <v>3357</v>
      </c>
      <c r="C1207" s="58" t="s">
        <v>3358</v>
      </c>
    </row>
    <row r="1208" spans="1:3">
      <c r="A1208" s="58" t="s">
        <v>3359</v>
      </c>
      <c r="B1208" s="58" t="s">
        <v>3360</v>
      </c>
      <c r="C1208" s="58" t="s">
        <v>3361</v>
      </c>
    </row>
    <row r="1209" spans="1:3">
      <c r="A1209" s="58" t="s">
        <v>3362</v>
      </c>
      <c r="B1209" s="58" t="s">
        <v>3363</v>
      </c>
      <c r="C1209" s="58" t="s">
        <v>3364</v>
      </c>
    </row>
    <row r="1210" spans="1:3">
      <c r="A1210" s="58" t="s">
        <v>3365</v>
      </c>
      <c r="B1210" s="58" t="s">
        <v>3366</v>
      </c>
      <c r="C1210" s="58" t="s">
        <v>3367</v>
      </c>
    </row>
    <row r="1211" spans="1:3">
      <c r="A1211" s="58" t="s">
        <v>3368</v>
      </c>
      <c r="B1211" s="58" t="s">
        <v>3369</v>
      </c>
      <c r="C1211" s="58" t="s">
        <v>3370</v>
      </c>
    </row>
    <row r="1212" spans="1:3">
      <c r="A1212" s="58" t="s">
        <v>3371</v>
      </c>
      <c r="B1212" s="58" t="s">
        <v>3372</v>
      </c>
      <c r="C1212" s="58" t="s">
        <v>3373</v>
      </c>
    </row>
    <row r="1213" spans="1:3">
      <c r="A1213" s="58" t="s">
        <v>3374</v>
      </c>
      <c r="B1213" s="58" t="s">
        <v>3375</v>
      </c>
      <c r="C1213" s="58" t="s">
        <v>3376</v>
      </c>
    </row>
    <row r="1214" spans="1:3">
      <c r="A1214" s="58" t="s">
        <v>3377</v>
      </c>
      <c r="B1214" s="58" t="s">
        <v>3378</v>
      </c>
      <c r="C1214" s="58" t="s">
        <v>3379</v>
      </c>
    </row>
    <row r="1215" spans="1:3">
      <c r="A1215" s="58" t="s">
        <v>3380</v>
      </c>
      <c r="B1215" s="58" t="s">
        <v>3378</v>
      </c>
      <c r="C1215" s="58" t="s">
        <v>3379</v>
      </c>
    </row>
    <row r="1216" spans="1:3">
      <c r="A1216" s="58" t="s">
        <v>3381</v>
      </c>
      <c r="B1216" s="58" t="s">
        <v>3382</v>
      </c>
      <c r="C1216" s="58" t="s">
        <v>3383</v>
      </c>
    </row>
    <row r="1217" spans="1:3">
      <c r="A1217" s="58" t="s">
        <v>3384</v>
      </c>
      <c r="B1217" s="58" t="s">
        <v>3385</v>
      </c>
      <c r="C1217" s="58" t="s">
        <v>3386</v>
      </c>
    </row>
    <row r="1218" spans="1:3">
      <c r="A1218" s="58" t="s">
        <v>3387</v>
      </c>
      <c r="B1218" s="58" t="s">
        <v>3388</v>
      </c>
      <c r="C1218" s="58" t="s">
        <v>3389</v>
      </c>
    </row>
    <row r="1219" spans="1:3">
      <c r="A1219" s="58" t="s">
        <v>3390</v>
      </c>
      <c r="B1219" s="58" t="s">
        <v>3391</v>
      </c>
      <c r="C1219" s="58" t="s">
        <v>3392</v>
      </c>
    </row>
    <row r="1220" spans="1:3">
      <c r="A1220" s="58" t="s">
        <v>3393</v>
      </c>
      <c r="B1220" s="58" t="s">
        <v>3394</v>
      </c>
      <c r="C1220" s="58" t="s">
        <v>3395</v>
      </c>
    </row>
    <row r="1221" spans="1:3">
      <c r="A1221" s="58" t="s">
        <v>3396</v>
      </c>
      <c r="B1221" s="58" t="s">
        <v>3397</v>
      </c>
      <c r="C1221" s="58" t="s">
        <v>3398</v>
      </c>
    </row>
    <row r="1222" spans="1:3">
      <c r="A1222" s="58" t="s">
        <v>3399</v>
      </c>
      <c r="B1222" s="58" t="s">
        <v>3400</v>
      </c>
      <c r="C1222" s="58" t="s">
        <v>3401</v>
      </c>
    </row>
    <row r="1223" spans="1:3">
      <c r="A1223" s="58" t="s">
        <v>3402</v>
      </c>
      <c r="B1223" s="58" t="s">
        <v>3400</v>
      </c>
      <c r="C1223" s="58" t="s">
        <v>3401</v>
      </c>
    </row>
    <row r="1224" spans="1:3">
      <c r="A1224" s="58" t="s">
        <v>3403</v>
      </c>
      <c r="B1224" s="58" t="s">
        <v>3400</v>
      </c>
      <c r="C1224" s="58" t="s">
        <v>3401</v>
      </c>
    </row>
    <row r="1225" spans="1:3">
      <c r="A1225" s="58" t="s">
        <v>3404</v>
      </c>
      <c r="B1225" s="58" t="s">
        <v>3405</v>
      </c>
      <c r="C1225" s="58" t="s">
        <v>3406</v>
      </c>
    </row>
    <row r="1226" spans="1:3">
      <c r="A1226" s="58" t="s">
        <v>3407</v>
      </c>
      <c r="B1226" s="58" t="s">
        <v>3408</v>
      </c>
      <c r="C1226" s="58" t="s">
        <v>3409</v>
      </c>
    </row>
    <row r="1227" spans="1:3">
      <c r="A1227" s="58" t="s">
        <v>3410</v>
      </c>
      <c r="B1227" s="58" t="s">
        <v>3411</v>
      </c>
      <c r="C1227" s="58" t="s">
        <v>3412</v>
      </c>
    </row>
    <row r="1228" spans="1:3">
      <c r="A1228" s="58" t="s">
        <v>3413</v>
      </c>
      <c r="B1228" s="58" t="s">
        <v>3414</v>
      </c>
      <c r="C1228" s="58" t="s">
        <v>3415</v>
      </c>
    </row>
    <row r="1229" spans="1:3">
      <c r="A1229" s="58" t="s">
        <v>3416</v>
      </c>
      <c r="B1229" s="58" t="s">
        <v>3417</v>
      </c>
      <c r="C1229" s="58" t="s">
        <v>3418</v>
      </c>
    </row>
    <row r="1230" spans="1:3">
      <c r="A1230" s="58" t="s">
        <v>3419</v>
      </c>
      <c r="B1230" s="58" t="s">
        <v>3420</v>
      </c>
      <c r="C1230" s="58" t="s">
        <v>3421</v>
      </c>
    </row>
    <row r="1231" spans="1:3">
      <c r="A1231" s="58" t="s">
        <v>3422</v>
      </c>
      <c r="B1231" s="58" t="s">
        <v>3420</v>
      </c>
      <c r="C1231" s="58" t="s">
        <v>3421</v>
      </c>
    </row>
    <row r="1232" spans="1:3">
      <c r="A1232" s="58" t="s">
        <v>3423</v>
      </c>
      <c r="B1232" s="58" t="s">
        <v>3424</v>
      </c>
      <c r="C1232" s="58" t="s">
        <v>3425</v>
      </c>
    </row>
    <row r="1233" spans="1:3">
      <c r="A1233" s="58" t="s">
        <v>3426</v>
      </c>
      <c r="B1233" s="58" t="s">
        <v>3427</v>
      </c>
      <c r="C1233" s="58" t="s">
        <v>3428</v>
      </c>
    </row>
    <row r="1234" spans="1:3">
      <c r="A1234" s="58" t="s">
        <v>3429</v>
      </c>
      <c r="B1234" s="58" t="s">
        <v>3430</v>
      </c>
      <c r="C1234" s="58" t="s">
        <v>3431</v>
      </c>
    </row>
    <row r="1235" spans="1:3">
      <c r="A1235" s="58" t="s">
        <v>3432</v>
      </c>
      <c r="B1235" s="58" t="s">
        <v>3433</v>
      </c>
      <c r="C1235" s="58" t="s">
        <v>3434</v>
      </c>
    </row>
    <row r="1236" spans="1:3">
      <c r="A1236" s="58" t="s">
        <v>3435</v>
      </c>
      <c r="B1236" s="58" t="s">
        <v>3436</v>
      </c>
      <c r="C1236" s="58" t="s">
        <v>3437</v>
      </c>
    </row>
    <row r="1237" spans="1:3">
      <c r="A1237" s="58" t="s">
        <v>3438</v>
      </c>
      <c r="B1237" s="58" t="s">
        <v>3439</v>
      </c>
      <c r="C1237" s="58" t="s">
        <v>3440</v>
      </c>
    </row>
    <row r="1238" spans="1:3">
      <c r="A1238" s="58" t="s">
        <v>3441</v>
      </c>
      <c r="B1238" s="58" t="s">
        <v>3442</v>
      </c>
      <c r="C1238" s="58" t="s">
        <v>3443</v>
      </c>
    </row>
    <row r="1239" spans="1:3">
      <c r="A1239" s="58" t="s">
        <v>3444</v>
      </c>
      <c r="B1239" s="58" t="s">
        <v>3445</v>
      </c>
      <c r="C1239" s="58" t="s">
        <v>3446</v>
      </c>
    </row>
    <row r="1240" spans="1:3">
      <c r="A1240" s="58" t="s">
        <v>3447</v>
      </c>
      <c r="B1240" s="58" t="s">
        <v>3448</v>
      </c>
      <c r="C1240" s="58" t="s">
        <v>3449</v>
      </c>
    </row>
    <row r="1241" spans="1:3">
      <c r="A1241" s="58" t="s">
        <v>3450</v>
      </c>
      <c r="B1241" s="58" t="s">
        <v>3451</v>
      </c>
      <c r="C1241" s="58" t="s">
        <v>3452</v>
      </c>
    </row>
    <row r="1242" spans="1:3">
      <c r="A1242" s="58" t="s">
        <v>3453</v>
      </c>
      <c r="B1242" s="58" t="s">
        <v>3451</v>
      </c>
      <c r="C1242" s="58" t="s">
        <v>3452</v>
      </c>
    </row>
    <row r="1243" spans="1:3">
      <c r="A1243" s="58" t="s">
        <v>3454</v>
      </c>
      <c r="B1243" s="58" t="s">
        <v>3455</v>
      </c>
      <c r="C1243" s="58" t="s">
        <v>3456</v>
      </c>
    </row>
    <row r="1244" spans="1:3">
      <c r="A1244" s="58" t="s">
        <v>3457</v>
      </c>
      <c r="B1244" s="58" t="s">
        <v>3455</v>
      </c>
      <c r="C1244" s="58" t="s">
        <v>3456</v>
      </c>
    </row>
    <row r="1245" spans="1:3">
      <c r="A1245" s="58" t="s">
        <v>3458</v>
      </c>
      <c r="B1245" s="58" t="s">
        <v>3459</v>
      </c>
      <c r="C1245" s="58" t="s">
        <v>3460</v>
      </c>
    </row>
    <row r="1246" spans="1:3">
      <c r="A1246" s="58" t="s">
        <v>3461</v>
      </c>
      <c r="B1246" s="58" t="s">
        <v>3462</v>
      </c>
      <c r="C1246" s="58" t="s">
        <v>3463</v>
      </c>
    </row>
    <row r="1247" spans="1:3">
      <c r="A1247" s="58" t="s">
        <v>3464</v>
      </c>
      <c r="B1247" s="58" t="s">
        <v>3465</v>
      </c>
      <c r="C1247" s="58" t="s">
        <v>3466</v>
      </c>
    </row>
    <row r="1248" spans="1:3">
      <c r="A1248" s="58" t="s">
        <v>3467</v>
      </c>
      <c r="B1248" s="58" t="s">
        <v>3465</v>
      </c>
      <c r="C1248" s="58" t="s">
        <v>3466</v>
      </c>
    </row>
    <row r="1249" spans="1:3">
      <c r="A1249" s="58" t="s">
        <v>3468</v>
      </c>
      <c r="B1249" s="58" t="s">
        <v>3465</v>
      </c>
      <c r="C1249" s="58" t="s">
        <v>3466</v>
      </c>
    </row>
    <row r="1250" spans="1:3">
      <c r="A1250" s="58" t="s">
        <v>3469</v>
      </c>
      <c r="B1250" s="58" t="s">
        <v>3470</v>
      </c>
      <c r="C1250" s="58" t="s">
        <v>3471</v>
      </c>
    </row>
    <row r="1251" spans="1:3">
      <c r="A1251" s="58" t="s">
        <v>3472</v>
      </c>
      <c r="B1251" s="58" t="s">
        <v>3473</v>
      </c>
      <c r="C1251" s="58" t="s">
        <v>3474</v>
      </c>
    </row>
    <row r="1252" spans="1:3">
      <c r="A1252" s="58" t="s">
        <v>3475</v>
      </c>
      <c r="B1252" s="58" t="s">
        <v>3476</v>
      </c>
      <c r="C1252" s="58" t="s">
        <v>3477</v>
      </c>
    </row>
    <row r="1253" spans="1:3">
      <c r="A1253" s="58" t="s">
        <v>3478</v>
      </c>
      <c r="B1253" s="58" t="s">
        <v>3479</v>
      </c>
      <c r="C1253" s="58" t="s">
        <v>3480</v>
      </c>
    </row>
    <row r="1254" spans="1:3">
      <c r="A1254" s="58" t="s">
        <v>3481</v>
      </c>
      <c r="B1254" s="58" t="s">
        <v>3482</v>
      </c>
      <c r="C1254" s="58" t="s">
        <v>3483</v>
      </c>
    </row>
    <row r="1255" spans="1:3">
      <c r="A1255" s="58" t="s">
        <v>3484</v>
      </c>
      <c r="B1255" s="58" t="s">
        <v>3485</v>
      </c>
      <c r="C1255" s="58" t="s">
        <v>3486</v>
      </c>
    </row>
    <row r="1256" spans="1:3">
      <c r="A1256" s="58" t="s">
        <v>3487</v>
      </c>
      <c r="B1256" s="58" t="s">
        <v>3488</v>
      </c>
      <c r="C1256" s="58" t="s">
        <v>3489</v>
      </c>
    </row>
    <row r="1257" spans="1:3">
      <c r="A1257" s="58" t="s">
        <v>3490</v>
      </c>
      <c r="B1257" s="58" t="s">
        <v>3491</v>
      </c>
      <c r="C1257" s="58" t="s">
        <v>3492</v>
      </c>
    </row>
    <row r="1258" spans="1:3">
      <c r="A1258" s="58" t="s">
        <v>3493</v>
      </c>
      <c r="B1258" s="58" t="s">
        <v>3494</v>
      </c>
      <c r="C1258" s="58" t="s">
        <v>3495</v>
      </c>
    </row>
    <row r="1259" spans="1:3">
      <c r="A1259" s="58" t="s">
        <v>3496</v>
      </c>
      <c r="B1259" s="58" t="s">
        <v>3494</v>
      </c>
      <c r="C1259" s="58" t="s">
        <v>3495</v>
      </c>
    </row>
    <row r="1260" spans="1:3">
      <c r="A1260" s="58" t="s">
        <v>3497</v>
      </c>
      <c r="B1260" s="58" t="s">
        <v>3498</v>
      </c>
      <c r="C1260" s="58" t="s">
        <v>3499</v>
      </c>
    </row>
    <row r="1261" spans="1:3">
      <c r="A1261" s="58" t="s">
        <v>3500</v>
      </c>
      <c r="B1261" s="58" t="s">
        <v>3498</v>
      </c>
      <c r="C1261" s="58" t="s">
        <v>3499</v>
      </c>
    </row>
    <row r="1262" spans="1:3">
      <c r="A1262" s="58" t="s">
        <v>3501</v>
      </c>
      <c r="B1262" s="58" t="s">
        <v>3502</v>
      </c>
      <c r="C1262" s="58" t="s">
        <v>3503</v>
      </c>
    </row>
    <row r="1263" spans="1:3">
      <c r="A1263" s="58" t="s">
        <v>3504</v>
      </c>
      <c r="B1263" s="58" t="s">
        <v>3505</v>
      </c>
      <c r="C1263" s="58" t="s">
        <v>3506</v>
      </c>
    </row>
    <row r="1264" spans="1:3">
      <c r="A1264" s="58" t="s">
        <v>3507</v>
      </c>
      <c r="B1264" s="58" t="s">
        <v>3508</v>
      </c>
      <c r="C1264" s="58" t="s">
        <v>3509</v>
      </c>
    </row>
    <row r="1265" spans="1:3">
      <c r="A1265" s="58" t="s">
        <v>3510</v>
      </c>
      <c r="B1265" s="58" t="s">
        <v>3511</v>
      </c>
      <c r="C1265" s="58" t="s">
        <v>3512</v>
      </c>
    </row>
    <row r="1266" spans="1:3">
      <c r="A1266" s="58" t="s">
        <v>3513</v>
      </c>
      <c r="B1266" s="58" t="s">
        <v>3514</v>
      </c>
      <c r="C1266" s="58" t="s">
        <v>3515</v>
      </c>
    </row>
    <row r="1267" spans="1:3">
      <c r="A1267" s="58" t="s">
        <v>3516</v>
      </c>
      <c r="B1267" s="58" t="s">
        <v>3517</v>
      </c>
      <c r="C1267" s="58" t="s">
        <v>3518</v>
      </c>
    </row>
    <row r="1268" spans="1:3">
      <c r="A1268" s="58" t="s">
        <v>3519</v>
      </c>
      <c r="B1268" s="58" t="s">
        <v>3517</v>
      </c>
      <c r="C1268" s="58" t="s">
        <v>3518</v>
      </c>
    </row>
    <row r="1269" spans="1:3">
      <c r="A1269" s="58" t="s">
        <v>3520</v>
      </c>
      <c r="B1269" s="58" t="s">
        <v>3517</v>
      </c>
      <c r="C1269" s="58" t="s">
        <v>3518</v>
      </c>
    </row>
    <row r="1270" spans="1:3">
      <c r="A1270" s="58" t="s">
        <v>3521</v>
      </c>
      <c r="B1270" s="58" t="s">
        <v>3522</v>
      </c>
      <c r="C1270" s="58" t="s">
        <v>3523</v>
      </c>
    </row>
    <row r="1271" spans="1:3">
      <c r="A1271" s="58" t="s">
        <v>3524</v>
      </c>
      <c r="B1271" s="58" t="s">
        <v>3522</v>
      </c>
      <c r="C1271" s="58" t="s">
        <v>3523</v>
      </c>
    </row>
    <row r="1272" spans="1:3">
      <c r="A1272" s="58" t="s">
        <v>3525</v>
      </c>
      <c r="B1272" s="58" t="s">
        <v>3522</v>
      </c>
      <c r="C1272" s="58" t="s">
        <v>3523</v>
      </c>
    </row>
    <row r="1273" spans="1:3">
      <c r="A1273" s="58" t="s">
        <v>3526</v>
      </c>
      <c r="B1273" s="58" t="s">
        <v>3527</v>
      </c>
      <c r="C1273" s="58" t="s">
        <v>3528</v>
      </c>
    </row>
    <row r="1274" spans="1:3">
      <c r="A1274" s="58" t="s">
        <v>3529</v>
      </c>
      <c r="B1274" s="58" t="s">
        <v>3530</v>
      </c>
      <c r="C1274" s="58" t="s">
        <v>3531</v>
      </c>
    </row>
    <row r="1275" spans="1:3">
      <c r="A1275" s="58" t="s">
        <v>3532</v>
      </c>
      <c r="B1275" s="58" t="s">
        <v>3530</v>
      </c>
      <c r="C1275" s="58" t="s">
        <v>3531</v>
      </c>
    </row>
    <row r="1276" spans="1:3">
      <c r="A1276" s="58" t="s">
        <v>3533</v>
      </c>
      <c r="B1276" s="58" t="s">
        <v>3534</v>
      </c>
      <c r="C1276" s="58" t="s">
        <v>3535</v>
      </c>
    </row>
    <row r="1277" spans="1:3">
      <c r="A1277" s="58" t="s">
        <v>3536</v>
      </c>
      <c r="B1277" s="58" t="s">
        <v>3537</v>
      </c>
      <c r="C1277" s="58" t="s">
        <v>3538</v>
      </c>
    </row>
    <row r="1278" spans="1:3">
      <c r="A1278" s="58" t="s">
        <v>3539</v>
      </c>
      <c r="B1278" s="58" t="s">
        <v>3540</v>
      </c>
      <c r="C1278" s="58" t="s">
        <v>3541</v>
      </c>
    </row>
    <row r="1279" spans="1:3">
      <c r="A1279" s="58" t="s">
        <v>3542</v>
      </c>
      <c r="B1279" s="58" t="s">
        <v>3543</v>
      </c>
      <c r="C1279" s="58" t="s">
        <v>3544</v>
      </c>
    </row>
    <row r="1280" spans="1:3">
      <c r="A1280" s="58" t="s">
        <v>3545</v>
      </c>
      <c r="B1280" s="58" t="s">
        <v>3546</v>
      </c>
      <c r="C1280" s="58" t="s">
        <v>3547</v>
      </c>
    </row>
    <row r="1281" spans="1:3">
      <c r="A1281" s="58" t="s">
        <v>3548</v>
      </c>
      <c r="B1281" s="58" t="s">
        <v>3549</v>
      </c>
      <c r="C1281" s="58" t="s">
        <v>3550</v>
      </c>
    </row>
    <row r="1282" spans="1:3">
      <c r="A1282" s="58" t="s">
        <v>3551</v>
      </c>
      <c r="B1282" s="58" t="s">
        <v>3552</v>
      </c>
      <c r="C1282" s="58" t="s">
        <v>3553</v>
      </c>
    </row>
    <row r="1283" spans="1:3">
      <c r="A1283" s="58" t="s">
        <v>3554</v>
      </c>
      <c r="B1283" s="58" t="s">
        <v>3555</v>
      </c>
      <c r="C1283" s="58" t="s">
        <v>3556</v>
      </c>
    </row>
    <row r="1284" spans="1:3">
      <c r="A1284" s="58" t="s">
        <v>3557</v>
      </c>
      <c r="B1284" s="58" t="s">
        <v>3558</v>
      </c>
      <c r="C1284" s="58" t="s">
        <v>3559</v>
      </c>
    </row>
    <row r="1285" spans="1:3">
      <c r="A1285" s="58" t="s">
        <v>3560</v>
      </c>
      <c r="B1285" s="58" t="s">
        <v>3561</v>
      </c>
      <c r="C1285" s="58" t="s">
        <v>3562</v>
      </c>
    </row>
    <row r="1286" spans="1:3">
      <c r="A1286" s="58" t="s">
        <v>3563</v>
      </c>
      <c r="B1286" s="58" t="s">
        <v>3564</v>
      </c>
      <c r="C1286" s="58" t="s">
        <v>3565</v>
      </c>
    </row>
    <row r="1287" spans="1:3">
      <c r="A1287" s="58" t="s">
        <v>3566</v>
      </c>
      <c r="B1287" s="58" t="s">
        <v>3567</v>
      </c>
      <c r="C1287" s="58" t="s">
        <v>3568</v>
      </c>
    </row>
    <row r="1288" spans="1:3">
      <c r="A1288" s="58" t="s">
        <v>3569</v>
      </c>
      <c r="B1288" s="58" t="s">
        <v>3570</v>
      </c>
      <c r="C1288" s="58" t="s">
        <v>3553</v>
      </c>
    </row>
    <row r="1289" spans="1:3">
      <c r="A1289" s="58" t="s">
        <v>3571</v>
      </c>
      <c r="B1289" s="58" t="s">
        <v>3572</v>
      </c>
      <c r="C1289" s="58" t="s">
        <v>3573</v>
      </c>
    </row>
    <row r="1290" spans="1:3">
      <c r="A1290" s="58" t="s">
        <v>3574</v>
      </c>
      <c r="B1290" s="58" t="s">
        <v>3575</v>
      </c>
      <c r="C1290" s="58" t="s">
        <v>3576</v>
      </c>
    </row>
    <row r="1291" spans="1:3">
      <c r="A1291" s="58" t="s">
        <v>3577</v>
      </c>
      <c r="B1291" s="58" t="s">
        <v>3578</v>
      </c>
      <c r="C1291" s="58" t="s">
        <v>3579</v>
      </c>
    </row>
    <row r="1292" spans="1:3">
      <c r="A1292" s="58" t="s">
        <v>3580</v>
      </c>
      <c r="B1292" s="58" t="s">
        <v>3581</v>
      </c>
      <c r="C1292" s="58" t="s">
        <v>3582</v>
      </c>
    </row>
    <row r="1293" spans="1:3">
      <c r="A1293" s="58" t="s">
        <v>3583</v>
      </c>
      <c r="B1293" s="58" t="s">
        <v>3584</v>
      </c>
      <c r="C1293" s="58" t="s">
        <v>3585</v>
      </c>
    </row>
    <row r="1294" spans="1:3">
      <c r="A1294" s="58" t="s">
        <v>3586</v>
      </c>
      <c r="B1294" s="58" t="s">
        <v>3587</v>
      </c>
      <c r="C1294" s="58" t="s">
        <v>3588</v>
      </c>
    </row>
    <row r="1295" spans="1:3">
      <c r="A1295" s="58" t="s">
        <v>3589</v>
      </c>
      <c r="B1295" s="58" t="s">
        <v>3590</v>
      </c>
      <c r="C1295" s="58" t="s">
        <v>3591</v>
      </c>
    </row>
    <row r="1296" spans="1:3">
      <c r="A1296" s="58" t="s">
        <v>3592</v>
      </c>
      <c r="B1296" s="58" t="s">
        <v>3593</v>
      </c>
      <c r="C1296" s="58" t="s">
        <v>3594</v>
      </c>
    </row>
    <row r="1297" spans="1:3">
      <c r="A1297" s="58" t="s">
        <v>3595</v>
      </c>
      <c r="B1297" s="58" t="s">
        <v>3596</v>
      </c>
      <c r="C1297" s="58" t="s">
        <v>3597</v>
      </c>
    </row>
    <row r="1298" spans="1:3">
      <c r="A1298" s="58" t="s">
        <v>3598</v>
      </c>
      <c r="B1298" s="58" t="s">
        <v>3599</v>
      </c>
      <c r="C1298" s="58" t="s">
        <v>3600</v>
      </c>
    </row>
    <row r="1299" spans="1:3">
      <c r="A1299" s="58" t="s">
        <v>3601</v>
      </c>
      <c r="B1299" s="58" t="s">
        <v>3602</v>
      </c>
      <c r="C1299" s="58" t="s">
        <v>3603</v>
      </c>
    </row>
    <row r="1300" spans="1:3">
      <c r="A1300" s="58" t="s">
        <v>3604</v>
      </c>
      <c r="B1300" s="58" t="s">
        <v>3605</v>
      </c>
      <c r="C1300" s="58" t="s">
        <v>3606</v>
      </c>
    </row>
    <row r="1301" spans="1:3">
      <c r="A1301" s="58" t="s">
        <v>3607</v>
      </c>
      <c r="B1301" s="58" t="s">
        <v>3608</v>
      </c>
      <c r="C1301" s="58" t="s">
        <v>3609</v>
      </c>
    </row>
    <row r="1302" spans="1:3">
      <c r="A1302" s="58" t="s">
        <v>3610</v>
      </c>
      <c r="B1302" s="58" t="s">
        <v>3611</v>
      </c>
      <c r="C1302" s="58" t="s">
        <v>3612</v>
      </c>
    </row>
    <row r="1303" spans="1:3">
      <c r="A1303" s="58" t="s">
        <v>3613</v>
      </c>
      <c r="B1303" s="58" t="s">
        <v>3614</v>
      </c>
      <c r="C1303" s="58" t="s">
        <v>3612</v>
      </c>
    </row>
    <row r="1304" spans="1:3">
      <c r="A1304" s="58" t="s">
        <v>3615</v>
      </c>
      <c r="B1304" s="58" t="s">
        <v>3616</v>
      </c>
      <c r="C1304" s="58" t="s">
        <v>3617</v>
      </c>
    </row>
    <row r="1305" spans="1:3">
      <c r="A1305" s="58" t="s">
        <v>3618</v>
      </c>
      <c r="B1305" s="58" t="s">
        <v>3619</v>
      </c>
      <c r="C1305" s="58" t="s">
        <v>3620</v>
      </c>
    </row>
    <row r="1306" spans="1:3">
      <c r="A1306" s="58" t="s">
        <v>3621</v>
      </c>
      <c r="B1306" s="58" t="s">
        <v>3622</v>
      </c>
      <c r="C1306" s="58" t="s">
        <v>3623</v>
      </c>
    </row>
    <row r="1307" spans="1:3">
      <c r="A1307" s="58" t="s">
        <v>3624</v>
      </c>
      <c r="B1307" s="58" t="s">
        <v>3625</v>
      </c>
      <c r="C1307" s="58" t="s">
        <v>3626</v>
      </c>
    </row>
    <row r="1308" spans="1:3">
      <c r="A1308" s="58" t="s">
        <v>3627</v>
      </c>
      <c r="B1308" s="58" t="s">
        <v>3628</v>
      </c>
      <c r="C1308" s="58" t="s">
        <v>3629</v>
      </c>
    </row>
    <row r="1309" spans="1:3">
      <c r="A1309" s="58" t="s">
        <v>3630</v>
      </c>
      <c r="B1309" s="58" t="s">
        <v>3631</v>
      </c>
      <c r="C1309" s="58" t="s">
        <v>3632</v>
      </c>
    </row>
    <row r="1310" spans="1:3">
      <c r="A1310" s="58" t="s">
        <v>3633</v>
      </c>
      <c r="B1310" s="58" t="s">
        <v>3634</v>
      </c>
      <c r="C1310" s="58" t="s">
        <v>3635</v>
      </c>
    </row>
    <row r="1311" spans="1:3">
      <c r="A1311" s="58" t="s">
        <v>3636</v>
      </c>
      <c r="B1311" s="58" t="s">
        <v>3634</v>
      </c>
      <c r="C1311" s="58" t="s">
        <v>3635</v>
      </c>
    </row>
    <row r="1312" spans="1:3">
      <c r="A1312" s="58" t="s">
        <v>3637</v>
      </c>
      <c r="B1312" s="58" t="s">
        <v>3638</v>
      </c>
      <c r="C1312" s="58" t="s">
        <v>3639</v>
      </c>
    </row>
    <row r="1313" spans="1:3">
      <c r="A1313" s="58" t="s">
        <v>3640</v>
      </c>
      <c r="B1313" s="58" t="s">
        <v>3641</v>
      </c>
      <c r="C1313" s="58" t="s">
        <v>3642</v>
      </c>
    </row>
    <row r="1314" spans="1:3">
      <c r="A1314" s="58" t="s">
        <v>3643</v>
      </c>
      <c r="B1314" s="58" t="s">
        <v>3644</v>
      </c>
      <c r="C1314" s="58" t="s">
        <v>3645</v>
      </c>
    </row>
    <row r="1315" spans="1:3">
      <c r="A1315" s="58" t="s">
        <v>3646</v>
      </c>
      <c r="B1315" s="58" t="s">
        <v>3647</v>
      </c>
      <c r="C1315" s="58" t="s">
        <v>3648</v>
      </c>
    </row>
    <row r="1316" spans="1:3">
      <c r="A1316" s="58" t="s">
        <v>3649</v>
      </c>
      <c r="B1316" s="58" t="s">
        <v>3650</v>
      </c>
      <c r="C1316" s="58" t="s">
        <v>3651</v>
      </c>
    </row>
    <row r="1317" spans="1:3">
      <c r="A1317" s="58" t="s">
        <v>3652</v>
      </c>
      <c r="B1317" s="58" t="s">
        <v>3653</v>
      </c>
      <c r="C1317" s="58" t="s">
        <v>3654</v>
      </c>
    </row>
    <row r="1318" spans="1:3">
      <c r="A1318" s="58" t="s">
        <v>3655</v>
      </c>
      <c r="B1318" s="58" t="s">
        <v>3656</v>
      </c>
      <c r="C1318" s="58" t="s">
        <v>3657</v>
      </c>
    </row>
    <row r="1319" spans="1:3">
      <c r="A1319" s="58" t="s">
        <v>3658</v>
      </c>
      <c r="B1319" s="58" t="s">
        <v>3659</v>
      </c>
      <c r="C1319" s="58" t="s">
        <v>3660</v>
      </c>
    </row>
    <row r="1320" spans="1:3">
      <c r="A1320" s="58" t="s">
        <v>3661</v>
      </c>
      <c r="B1320" s="58" t="s">
        <v>3662</v>
      </c>
      <c r="C1320" s="58" t="s">
        <v>3663</v>
      </c>
    </row>
    <row r="1321" spans="1:3">
      <c r="A1321" s="58" t="s">
        <v>3664</v>
      </c>
      <c r="B1321" s="58" t="s">
        <v>3665</v>
      </c>
      <c r="C1321" s="58" t="s">
        <v>3666</v>
      </c>
    </row>
    <row r="1322" spans="1:3">
      <c r="A1322" s="58" t="s">
        <v>3667</v>
      </c>
      <c r="B1322" s="58" t="s">
        <v>3668</v>
      </c>
      <c r="C1322" s="58" t="s">
        <v>3669</v>
      </c>
    </row>
    <row r="1323" spans="1:3">
      <c r="A1323" s="58" t="s">
        <v>3670</v>
      </c>
      <c r="B1323" s="58" t="s">
        <v>3668</v>
      </c>
      <c r="C1323" s="58" t="s">
        <v>3669</v>
      </c>
    </row>
    <row r="1324" spans="1:3">
      <c r="A1324" s="58" t="s">
        <v>3671</v>
      </c>
      <c r="B1324" s="58" t="s">
        <v>3672</v>
      </c>
      <c r="C1324" s="58" t="s">
        <v>3673</v>
      </c>
    </row>
    <row r="1325" spans="1:3">
      <c r="A1325" s="58" t="s">
        <v>3674</v>
      </c>
      <c r="B1325" s="58" t="s">
        <v>3675</v>
      </c>
      <c r="C1325" s="58" t="s">
        <v>3676</v>
      </c>
    </row>
    <row r="1326" spans="1:3">
      <c r="A1326" s="58" t="s">
        <v>3677</v>
      </c>
      <c r="B1326" s="58" t="s">
        <v>3678</v>
      </c>
      <c r="C1326" s="58" t="s">
        <v>3679</v>
      </c>
    </row>
    <row r="1327" spans="1:3">
      <c r="A1327" s="58" t="s">
        <v>3680</v>
      </c>
      <c r="B1327" s="58" t="s">
        <v>3681</v>
      </c>
      <c r="C1327" s="58" t="s">
        <v>3682</v>
      </c>
    </row>
    <row r="1328" spans="1:3">
      <c r="A1328" s="58" t="s">
        <v>3683</v>
      </c>
      <c r="B1328" s="58" t="s">
        <v>3684</v>
      </c>
      <c r="C1328" s="58" t="s">
        <v>3685</v>
      </c>
    </row>
    <row r="1329" spans="1:3">
      <c r="A1329" s="58" t="s">
        <v>3686</v>
      </c>
      <c r="B1329" s="58" t="s">
        <v>3687</v>
      </c>
      <c r="C1329" s="58" t="s">
        <v>3688</v>
      </c>
    </row>
    <row r="1330" spans="1:3">
      <c r="A1330" s="58" t="s">
        <v>3689</v>
      </c>
      <c r="B1330" s="58" t="s">
        <v>3690</v>
      </c>
      <c r="C1330" s="58" t="s">
        <v>3691</v>
      </c>
    </row>
    <row r="1331" spans="1:3">
      <c r="A1331" s="58" t="s">
        <v>3692</v>
      </c>
      <c r="B1331" s="58" t="s">
        <v>3693</v>
      </c>
      <c r="C1331" s="58" t="s">
        <v>3694</v>
      </c>
    </row>
    <row r="1332" spans="1:3">
      <c r="A1332" s="58" t="s">
        <v>3695</v>
      </c>
      <c r="B1332" s="58" t="s">
        <v>3696</v>
      </c>
      <c r="C1332" s="58" t="s">
        <v>3697</v>
      </c>
    </row>
    <row r="1333" spans="1:3">
      <c r="A1333" s="58" t="s">
        <v>3698</v>
      </c>
      <c r="B1333" s="58" t="s">
        <v>3699</v>
      </c>
      <c r="C1333" s="58" t="s">
        <v>3700</v>
      </c>
    </row>
    <row r="1334" spans="1:3">
      <c r="A1334" s="58" t="s">
        <v>3701</v>
      </c>
      <c r="B1334" s="58" t="s">
        <v>3702</v>
      </c>
      <c r="C1334" s="58" t="s">
        <v>3703</v>
      </c>
    </row>
    <row r="1335" spans="1:3">
      <c r="A1335" s="58" t="s">
        <v>3704</v>
      </c>
      <c r="B1335" s="58" t="s">
        <v>3705</v>
      </c>
      <c r="C1335" s="58" t="s">
        <v>3706</v>
      </c>
    </row>
    <row r="1336" spans="1:3">
      <c r="A1336" s="58" t="s">
        <v>3707</v>
      </c>
      <c r="B1336" s="58" t="s">
        <v>3708</v>
      </c>
      <c r="C1336" s="58" t="s">
        <v>3709</v>
      </c>
    </row>
    <row r="1337" spans="1:3">
      <c r="A1337" s="58" t="s">
        <v>3710</v>
      </c>
      <c r="B1337" s="58" t="s">
        <v>3711</v>
      </c>
      <c r="C1337" s="58" t="s">
        <v>3712</v>
      </c>
    </row>
    <row r="1338" spans="1:3">
      <c r="A1338" s="58" t="s">
        <v>3713</v>
      </c>
      <c r="B1338" s="58" t="s">
        <v>3714</v>
      </c>
      <c r="C1338" s="58" t="s">
        <v>3715</v>
      </c>
    </row>
    <row r="1339" spans="1:3">
      <c r="A1339" s="58" t="s">
        <v>3716</v>
      </c>
      <c r="B1339" s="58" t="s">
        <v>3714</v>
      </c>
      <c r="C1339" s="58" t="s">
        <v>3715</v>
      </c>
    </row>
    <row r="1340" spans="1:3">
      <c r="A1340" s="58" t="s">
        <v>3717</v>
      </c>
      <c r="B1340" s="58" t="s">
        <v>3718</v>
      </c>
      <c r="C1340" s="58" t="s">
        <v>3719</v>
      </c>
    </row>
    <row r="1341" spans="1:3">
      <c r="A1341" s="58" t="s">
        <v>3720</v>
      </c>
      <c r="B1341" s="58" t="s">
        <v>3721</v>
      </c>
      <c r="C1341" s="58" t="s">
        <v>3722</v>
      </c>
    </row>
    <row r="1342" spans="1:3">
      <c r="A1342" s="58" t="s">
        <v>3723</v>
      </c>
      <c r="B1342" s="58" t="s">
        <v>3724</v>
      </c>
      <c r="C1342" s="58" t="s">
        <v>3725</v>
      </c>
    </row>
    <row r="1343" spans="1:3">
      <c r="A1343" s="58" t="s">
        <v>3726</v>
      </c>
      <c r="B1343" s="58" t="s">
        <v>3727</v>
      </c>
      <c r="C1343" s="58" t="s">
        <v>3728</v>
      </c>
    </row>
    <row r="1344" spans="1:3">
      <c r="A1344" s="58" t="s">
        <v>3729</v>
      </c>
      <c r="B1344" s="58" t="s">
        <v>3730</v>
      </c>
      <c r="C1344" s="58" t="s">
        <v>3731</v>
      </c>
    </row>
    <row r="1345" spans="1:3">
      <c r="A1345" s="58" t="s">
        <v>3732</v>
      </c>
      <c r="B1345" s="58" t="s">
        <v>3733</v>
      </c>
      <c r="C1345" s="58" t="s">
        <v>3734</v>
      </c>
    </row>
    <row r="1346" spans="1:3">
      <c r="A1346" s="58" t="s">
        <v>3735</v>
      </c>
      <c r="B1346" s="58" t="s">
        <v>3736</v>
      </c>
      <c r="C1346" s="58" t="s">
        <v>3737</v>
      </c>
    </row>
    <row r="1347" spans="1:3">
      <c r="A1347" s="58" t="s">
        <v>3738</v>
      </c>
      <c r="B1347" s="58" t="s">
        <v>3739</v>
      </c>
      <c r="C1347" s="58" t="s">
        <v>3740</v>
      </c>
    </row>
    <row r="1348" spans="1:3">
      <c r="A1348" s="58" t="s">
        <v>3741</v>
      </c>
      <c r="B1348" s="58" t="s">
        <v>3742</v>
      </c>
      <c r="C1348" s="58" t="s">
        <v>3743</v>
      </c>
    </row>
    <row r="1349" spans="1:3">
      <c r="A1349" s="58" t="s">
        <v>3744</v>
      </c>
      <c r="B1349" s="58" t="s">
        <v>3745</v>
      </c>
      <c r="C1349" s="58" t="s">
        <v>3746</v>
      </c>
    </row>
    <row r="1350" spans="1:3">
      <c r="A1350" s="58" t="s">
        <v>3747</v>
      </c>
      <c r="B1350" s="58" t="s">
        <v>3748</v>
      </c>
      <c r="C1350" s="58" t="s">
        <v>3749</v>
      </c>
    </row>
    <row r="1351" spans="1:3">
      <c r="A1351" s="58" t="s">
        <v>3750</v>
      </c>
      <c r="B1351" s="58" t="s">
        <v>3748</v>
      </c>
      <c r="C1351" s="58" t="s">
        <v>3749</v>
      </c>
    </row>
    <row r="1352" spans="1:3">
      <c r="A1352" s="58" t="s">
        <v>3751</v>
      </c>
      <c r="B1352" s="58" t="s">
        <v>3752</v>
      </c>
      <c r="C1352" s="58" t="s">
        <v>3753</v>
      </c>
    </row>
    <row r="1353" spans="1:3">
      <c r="A1353" s="58" t="s">
        <v>3754</v>
      </c>
      <c r="B1353" s="58" t="s">
        <v>3755</v>
      </c>
      <c r="C1353" s="58" t="s">
        <v>3756</v>
      </c>
    </row>
    <row r="1354" spans="1:3">
      <c r="A1354" s="58" t="s">
        <v>3757</v>
      </c>
      <c r="B1354" s="58" t="s">
        <v>3758</v>
      </c>
      <c r="C1354" s="58" t="s">
        <v>3759</v>
      </c>
    </row>
    <row r="1355" spans="1:3">
      <c r="A1355" s="58" t="s">
        <v>3760</v>
      </c>
      <c r="B1355" s="58" t="s">
        <v>3761</v>
      </c>
      <c r="C1355" s="58" t="s">
        <v>3762</v>
      </c>
    </row>
    <row r="1356" spans="1:3">
      <c r="A1356" s="58" t="s">
        <v>3763</v>
      </c>
      <c r="B1356" s="58" t="s">
        <v>3764</v>
      </c>
      <c r="C1356" s="58" t="s">
        <v>3765</v>
      </c>
    </row>
    <row r="1357" spans="1:3">
      <c r="A1357" s="58" t="s">
        <v>3766</v>
      </c>
      <c r="B1357" s="58" t="s">
        <v>3767</v>
      </c>
      <c r="C1357" s="58" t="s">
        <v>3768</v>
      </c>
    </row>
    <row r="1358" spans="1:3">
      <c r="A1358" s="58" t="s">
        <v>3769</v>
      </c>
      <c r="B1358" s="58" t="s">
        <v>3770</v>
      </c>
      <c r="C1358" s="58" t="s">
        <v>3771</v>
      </c>
    </row>
    <row r="1359" spans="1:3">
      <c r="A1359" s="58" t="s">
        <v>3772</v>
      </c>
      <c r="B1359" s="58" t="s">
        <v>3773</v>
      </c>
      <c r="C1359" s="58" t="s">
        <v>3774</v>
      </c>
    </row>
    <row r="1360" spans="1:3">
      <c r="A1360" s="58" t="s">
        <v>3775</v>
      </c>
      <c r="B1360" s="58" t="s">
        <v>3776</v>
      </c>
      <c r="C1360" s="58" t="s">
        <v>3777</v>
      </c>
    </row>
    <row r="1361" spans="1:3">
      <c r="A1361" s="58" t="s">
        <v>3778</v>
      </c>
      <c r="B1361" s="58" t="s">
        <v>3779</v>
      </c>
      <c r="C1361" s="58" t="s">
        <v>3780</v>
      </c>
    </row>
    <row r="1362" spans="1:3">
      <c r="A1362" s="58" t="s">
        <v>3781</v>
      </c>
      <c r="B1362" s="58" t="s">
        <v>3782</v>
      </c>
      <c r="C1362" s="58" t="s">
        <v>3783</v>
      </c>
    </row>
    <row r="1363" spans="1:3">
      <c r="A1363" s="58" t="s">
        <v>3784</v>
      </c>
      <c r="B1363" s="58" t="s">
        <v>3785</v>
      </c>
      <c r="C1363" s="58" t="s">
        <v>3786</v>
      </c>
    </row>
    <row r="1364" spans="1:3">
      <c r="A1364" s="58" t="s">
        <v>3787</v>
      </c>
      <c r="B1364" s="58" t="s">
        <v>3788</v>
      </c>
      <c r="C1364" s="58" t="s">
        <v>3789</v>
      </c>
    </row>
    <row r="1365" spans="1:3">
      <c r="A1365" s="58" t="s">
        <v>3790</v>
      </c>
      <c r="B1365" s="58" t="s">
        <v>3791</v>
      </c>
      <c r="C1365" s="58" t="s">
        <v>3792</v>
      </c>
    </row>
    <row r="1366" spans="1:3">
      <c r="A1366" s="58" t="s">
        <v>3793</v>
      </c>
      <c r="B1366" s="58" t="s">
        <v>3794</v>
      </c>
      <c r="C1366" s="58" t="s">
        <v>3795</v>
      </c>
    </row>
    <row r="1367" spans="1:3">
      <c r="A1367" s="58" t="s">
        <v>3796</v>
      </c>
      <c r="B1367" s="58" t="s">
        <v>3794</v>
      </c>
      <c r="C1367" s="58" t="s">
        <v>3795</v>
      </c>
    </row>
    <row r="1368" spans="1:3">
      <c r="A1368" s="58" t="s">
        <v>3797</v>
      </c>
      <c r="B1368" s="58" t="s">
        <v>3798</v>
      </c>
      <c r="C1368" s="58" t="s">
        <v>3799</v>
      </c>
    </row>
    <row r="1369" spans="1:3">
      <c r="A1369" s="58" t="s">
        <v>3800</v>
      </c>
      <c r="B1369" s="58" t="s">
        <v>3798</v>
      </c>
      <c r="C1369" s="58" t="s">
        <v>3799</v>
      </c>
    </row>
    <row r="1370" spans="1:3">
      <c r="A1370" s="58" t="s">
        <v>3801</v>
      </c>
      <c r="B1370" s="58" t="s">
        <v>3802</v>
      </c>
      <c r="C1370" s="58" t="s">
        <v>3803</v>
      </c>
    </row>
    <row r="1371" spans="1:3">
      <c r="A1371" s="58" t="s">
        <v>3804</v>
      </c>
      <c r="B1371" s="58" t="s">
        <v>3805</v>
      </c>
      <c r="C1371" s="58" t="s">
        <v>3806</v>
      </c>
    </row>
    <row r="1372" spans="1:3">
      <c r="A1372" s="58" t="s">
        <v>3807</v>
      </c>
      <c r="B1372" s="58" t="s">
        <v>3808</v>
      </c>
      <c r="C1372" s="58" t="s">
        <v>3809</v>
      </c>
    </row>
    <row r="1373" spans="1:3">
      <c r="A1373" s="58" t="s">
        <v>3810</v>
      </c>
      <c r="B1373" s="58" t="s">
        <v>3811</v>
      </c>
      <c r="C1373" s="58" t="s">
        <v>3812</v>
      </c>
    </row>
    <row r="1374" spans="1:3">
      <c r="A1374" s="58" t="s">
        <v>3813</v>
      </c>
      <c r="B1374" s="58" t="s">
        <v>3811</v>
      </c>
      <c r="C1374" s="58" t="s">
        <v>3812</v>
      </c>
    </row>
    <row r="1375" spans="1:3">
      <c r="A1375" s="58" t="s">
        <v>3814</v>
      </c>
      <c r="B1375" s="58" t="s">
        <v>3815</v>
      </c>
      <c r="C1375" s="58" t="s">
        <v>3816</v>
      </c>
    </row>
    <row r="1376" spans="1:3">
      <c r="A1376" s="58" t="s">
        <v>3817</v>
      </c>
      <c r="B1376" s="58" t="s">
        <v>3818</v>
      </c>
      <c r="C1376" s="58" t="s">
        <v>3819</v>
      </c>
    </row>
    <row r="1377" spans="1:3">
      <c r="A1377" s="58" t="s">
        <v>3820</v>
      </c>
      <c r="B1377" s="58" t="s">
        <v>3821</v>
      </c>
      <c r="C1377" s="58" t="s">
        <v>3822</v>
      </c>
    </row>
    <row r="1378" spans="1:3">
      <c r="A1378" s="58" t="s">
        <v>3823</v>
      </c>
      <c r="B1378" s="58" t="s">
        <v>3824</v>
      </c>
      <c r="C1378" s="58" t="s">
        <v>3825</v>
      </c>
    </row>
    <row r="1379" spans="1:3">
      <c r="A1379" s="58" t="s">
        <v>3826</v>
      </c>
      <c r="B1379" s="58" t="s">
        <v>3824</v>
      </c>
      <c r="C1379" s="58" t="s">
        <v>3825</v>
      </c>
    </row>
    <row r="1380" spans="1:3">
      <c r="A1380" s="58" t="s">
        <v>3827</v>
      </c>
      <c r="B1380" s="58" t="s">
        <v>3824</v>
      </c>
      <c r="C1380" s="58" t="s">
        <v>3825</v>
      </c>
    </row>
    <row r="1381" spans="1:3">
      <c r="A1381" s="58" t="s">
        <v>3828</v>
      </c>
      <c r="B1381" s="58" t="s">
        <v>3829</v>
      </c>
      <c r="C1381" s="58" t="s">
        <v>3830</v>
      </c>
    </row>
    <row r="1382" spans="1:3">
      <c r="A1382" s="58" t="s">
        <v>3831</v>
      </c>
      <c r="B1382" s="58" t="s">
        <v>3832</v>
      </c>
      <c r="C1382" s="58" t="s">
        <v>3833</v>
      </c>
    </row>
    <row r="1383" spans="1:3">
      <c r="A1383" s="58" t="s">
        <v>3834</v>
      </c>
      <c r="B1383" s="58" t="s">
        <v>3832</v>
      </c>
      <c r="C1383" s="58" t="s">
        <v>3833</v>
      </c>
    </row>
    <row r="1384" spans="1:3">
      <c r="A1384" s="58" t="s">
        <v>3835</v>
      </c>
      <c r="B1384" s="58" t="s">
        <v>3836</v>
      </c>
      <c r="C1384" s="58" t="s">
        <v>3837</v>
      </c>
    </row>
    <row r="1385" spans="1:3">
      <c r="A1385" s="58" t="s">
        <v>3838</v>
      </c>
      <c r="B1385" s="58" t="s">
        <v>3839</v>
      </c>
      <c r="C1385" s="58" t="s">
        <v>3840</v>
      </c>
    </row>
    <row r="1386" spans="1:3">
      <c r="A1386" s="58" t="s">
        <v>3841</v>
      </c>
      <c r="B1386" s="58" t="s">
        <v>3842</v>
      </c>
      <c r="C1386" s="58" t="s">
        <v>3843</v>
      </c>
    </row>
    <row r="1387" spans="1:3">
      <c r="A1387" s="58" t="s">
        <v>3844</v>
      </c>
      <c r="B1387" s="58" t="s">
        <v>3845</v>
      </c>
      <c r="C1387" s="58" t="s">
        <v>3846</v>
      </c>
    </row>
    <row r="1388" spans="1:3">
      <c r="A1388" s="58" t="s">
        <v>3847</v>
      </c>
      <c r="B1388" s="58" t="s">
        <v>3848</v>
      </c>
      <c r="C1388" s="58" t="s">
        <v>3849</v>
      </c>
    </row>
    <row r="1389" spans="1:3">
      <c r="A1389" s="58" t="s">
        <v>3850</v>
      </c>
      <c r="B1389" s="58" t="s">
        <v>3851</v>
      </c>
      <c r="C1389" s="58" t="s">
        <v>3852</v>
      </c>
    </row>
    <row r="1390" spans="1:3">
      <c r="A1390" s="58" t="s">
        <v>3853</v>
      </c>
      <c r="B1390" s="58" t="s">
        <v>3851</v>
      </c>
      <c r="C1390" s="58" t="s">
        <v>3852</v>
      </c>
    </row>
    <row r="1391" spans="1:3">
      <c r="A1391" s="58" t="s">
        <v>3854</v>
      </c>
      <c r="B1391" s="58" t="s">
        <v>3851</v>
      </c>
      <c r="C1391" s="58" t="s">
        <v>3852</v>
      </c>
    </row>
    <row r="1392" spans="1:3">
      <c r="A1392" s="58" t="s">
        <v>3855</v>
      </c>
      <c r="B1392" s="58" t="s">
        <v>3856</v>
      </c>
      <c r="C1392" s="58" t="s">
        <v>3849</v>
      </c>
    </row>
    <row r="1393" spans="1:3">
      <c r="A1393" s="58" t="s">
        <v>3857</v>
      </c>
      <c r="B1393" s="58" t="s">
        <v>3858</v>
      </c>
      <c r="C1393" s="58" t="s">
        <v>3859</v>
      </c>
    </row>
    <row r="1394" spans="1:3">
      <c r="A1394" s="58" t="s">
        <v>3860</v>
      </c>
      <c r="B1394" s="58" t="s">
        <v>3858</v>
      </c>
      <c r="C1394" s="58" t="s">
        <v>3859</v>
      </c>
    </row>
    <row r="1395" spans="1:3">
      <c r="A1395" s="58" t="s">
        <v>3861</v>
      </c>
      <c r="B1395" s="58" t="s">
        <v>3862</v>
      </c>
      <c r="C1395" s="58" t="s">
        <v>3863</v>
      </c>
    </row>
    <row r="1396" spans="1:3">
      <c r="A1396" s="58" t="s">
        <v>3864</v>
      </c>
      <c r="B1396" s="58" t="s">
        <v>3862</v>
      </c>
      <c r="C1396" s="58" t="s">
        <v>3863</v>
      </c>
    </row>
    <row r="1397" spans="1:3">
      <c r="A1397" s="58" t="s">
        <v>3865</v>
      </c>
      <c r="B1397" s="58" t="s">
        <v>3866</v>
      </c>
      <c r="C1397" s="58" t="s">
        <v>3867</v>
      </c>
    </row>
    <row r="1398" spans="1:3">
      <c r="A1398" s="58" t="s">
        <v>3868</v>
      </c>
      <c r="B1398" s="58" t="s">
        <v>3866</v>
      </c>
      <c r="C1398" s="58" t="s">
        <v>3867</v>
      </c>
    </row>
    <row r="1399" spans="1:3">
      <c r="A1399" s="58" t="s">
        <v>3869</v>
      </c>
      <c r="B1399" s="58" t="s">
        <v>3870</v>
      </c>
      <c r="C1399" s="58" t="s">
        <v>3871</v>
      </c>
    </row>
    <row r="1400" spans="1:3">
      <c r="A1400" s="58" t="s">
        <v>3872</v>
      </c>
      <c r="B1400" s="58" t="s">
        <v>3873</v>
      </c>
      <c r="C1400" s="58" t="s">
        <v>3874</v>
      </c>
    </row>
    <row r="1401" spans="1:3">
      <c r="A1401" s="58" t="s">
        <v>3875</v>
      </c>
      <c r="B1401" s="58" t="s">
        <v>3876</v>
      </c>
      <c r="C1401" s="58" t="s">
        <v>3877</v>
      </c>
    </row>
    <row r="1402" spans="1:3">
      <c r="A1402" s="58" t="s">
        <v>3878</v>
      </c>
      <c r="B1402" s="58" t="s">
        <v>3879</v>
      </c>
      <c r="C1402" s="58" t="s">
        <v>3880</v>
      </c>
    </row>
    <row r="1403" spans="1:3">
      <c r="A1403" s="58" t="s">
        <v>3881</v>
      </c>
      <c r="B1403" s="58" t="s">
        <v>3879</v>
      </c>
      <c r="C1403" s="58" t="s">
        <v>3882</v>
      </c>
    </row>
    <row r="1404" spans="1:3">
      <c r="A1404" s="58" t="s">
        <v>3883</v>
      </c>
      <c r="B1404" s="58" t="s">
        <v>3884</v>
      </c>
      <c r="C1404" s="58" t="s">
        <v>3885</v>
      </c>
    </row>
    <row r="1405" spans="1:3">
      <c r="A1405" s="58" t="s">
        <v>3886</v>
      </c>
      <c r="B1405" s="58" t="s">
        <v>3884</v>
      </c>
      <c r="C1405" s="58" t="s">
        <v>3885</v>
      </c>
    </row>
    <row r="1406" spans="1:3">
      <c r="A1406" s="58" t="s">
        <v>3887</v>
      </c>
      <c r="B1406" s="58" t="s">
        <v>3888</v>
      </c>
      <c r="C1406" s="58" t="s">
        <v>3889</v>
      </c>
    </row>
    <row r="1407" spans="1:3">
      <c r="A1407" s="58" t="s">
        <v>3890</v>
      </c>
      <c r="B1407" s="58" t="s">
        <v>3891</v>
      </c>
      <c r="C1407" s="58" t="s">
        <v>3892</v>
      </c>
    </row>
    <row r="1408" spans="1:3">
      <c r="A1408" s="58" t="s">
        <v>3893</v>
      </c>
      <c r="B1408" s="58" t="s">
        <v>3894</v>
      </c>
      <c r="C1408" s="58" t="s">
        <v>3895</v>
      </c>
    </row>
    <row r="1409" spans="1:3">
      <c r="A1409" s="58" t="s">
        <v>3896</v>
      </c>
      <c r="B1409" s="58" t="s">
        <v>3897</v>
      </c>
      <c r="C1409" s="58" t="s">
        <v>3898</v>
      </c>
    </row>
    <row r="1410" spans="1:3">
      <c r="A1410" s="58" t="s">
        <v>3899</v>
      </c>
      <c r="B1410" s="58" t="s">
        <v>3897</v>
      </c>
      <c r="C1410" s="58" t="s">
        <v>3898</v>
      </c>
    </row>
    <row r="1411" spans="1:3">
      <c r="A1411" s="58" t="s">
        <v>3900</v>
      </c>
      <c r="B1411" s="58" t="s">
        <v>3901</v>
      </c>
      <c r="C1411" s="58" t="s">
        <v>3902</v>
      </c>
    </row>
    <row r="1412" spans="1:3">
      <c r="A1412" s="58" t="s">
        <v>3903</v>
      </c>
      <c r="B1412" s="58" t="s">
        <v>3904</v>
      </c>
      <c r="C1412" s="58" t="s">
        <v>3905</v>
      </c>
    </row>
    <row r="1413" spans="1:3">
      <c r="A1413" s="58" t="s">
        <v>3906</v>
      </c>
      <c r="B1413" s="58" t="s">
        <v>3907</v>
      </c>
      <c r="C1413" s="58" t="s">
        <v>3908</v>
      </c>
    </row>
    <row r="1414" spans="1:3">
      <c r="A1414" s="58" t="s">
        <v>3909</v>
      </c>
      <c r="B1414" s="58" t="s">
        <v>3910</v>
      </c>
      <c r="C1414" s="58" t="s">
        <v>3911</v>
      </c>
    </row>
    <row r="1415" spans="1:3">
      <c r="A1415" s="58" t="s">
        <v>3912</v>
      </c>
      <c r="B1415" s="58" t="s">
        <v>3913</v>
      </c>
      <c r="C1415" s="58" t="s">
        <v>3914</v>
      </c>
    </row>
    <row r="1416" spans="1:3">
      <c r="A1416" s="58" t="s">
        <v>3915</v>
      </c>
      <c r="B1416" s="58" t="s">
        <v>3916</v>
      </c>
      <c r="C1416" s="58" t="s">
        <v>3917</v>
      </c>
    </row>
    <row r="1417" spans="1:3">
      <c r="A1417" s="58" t="s">
        <v>3918</v>
      </c>
      <c r="B1417" s="58" t="s">
        <v>3916</v>
      </c>
      <c r="C1417" s="58" t="s">
        <v>3917</v>
      </c>
    </row>
    <row r="1418" spans="1:3">
      <c r="A1418" s="58" t="s">
        <v>3919</v>
      </c>
      <c r="B1418" s="58" t="s">
        <v>3920</v>
      </c>
      <c r="C1418" s="58" t="s">
        <v>3921</v>
      </c>
    </row>
    <row r="1419" spans="1:3">
      <c r="A1419" s="58" t="s">
        <v>3922</v>
      </c>
      <c r="B1419" s="58" t="s">
        <v>3923</v>
      </c>
      <c r="C1419" s="58" t="s">
        <v>3924</v>
      </c>
    </row>
    <row r="1420" spans="1:3">
      <c r="A1420" s="58" t="s">
        <v>3925</v>
      </c>
      <c r="B1420" s="58" t="s">
        <v>3923</v>
      </c>
      <c r="C1420" s="58" t="s">
        <v>3924</v>
      </c>
    </row>
    <row r="1421" spans="1:3">
      <c r="A1421" s="58" t="s">
        <v>3926</v>
      </c>
      <c r="B1421" s="58" t="s">
        <v>3927</v>
      </c>
      <c r="C1421" s="58" t="s">
        <v>3928</v>
      </c>
    </row>
    <row r="1422" spans="1:3">
      <c r="A1422" s="58" t="s">
        <v>3929</v>
      </c>
      <c r="B1422" s="58" t="s">
        <v>3930</v>
      </c>
      <c r="C1422" s="58" t="s">
        <v>3931</v>
      </c>
    </row>
    <row r="1423" spans="1:3">
      <c r="A1423" s="58" t="s">
        <v>3932</v>
      </c>
      <c r="B1423" s="58" t="s">
        <v>3927</v>
      </c>
      <c r="C1423" s="58" t="s">
        <v>3928</v>
      </c>
    </row>
    <row r="1424" spans="1:3">
      <c r="A1424" s="58" t="s">
        <v>3933</v>
      </c>
      <c r="B1424" s="58" t="s">
        <v>3934</v>
      </c>
      <c r="C1424" s="58" t="s">
        <v>3935</v>
      </c>
    </row>
    <row r="1425" spans="1:3">
      <c r="A1425" s="58" t="s">
        <v>3936</v>
      </c>
      <c r="B1425" s="58" t="s">
        <v>3937</v>
      </c>
      <c r="C1425" s="58" t="s">
        <v>3938</v>
      </c>
    </row>
    <row r="1426" spans="1:3">
      <c r="A1426" s="58" t="s">
        <v>3939</v>
      </c>
      <c r="B1426" s="58" t="s">
        <v>3940</v>
      </c>
      <c r="C1426" s="58" t="s">
        <v>3941</v>
      </c>
    </row>
    <row r="1427" spans="1:3">
      <c r="A1427" s="58" t="s">
        <v>3942</v>
      </c>
      <c r="B1427" s="58" t="s">
        <v>3940</v>
      </c>
      <c r="C1427" s="58" t="s">
        <v>3941</v>
      </c>
    </row>
    <row r="1428" spans="1:3">
      <c r="A1428" s="58" t="s">
        <v>3943</v>
      </c>
      <c r="B1428" s="58" t="s">
        <v>3944</v>
      </c>
      <c r="C1428" s="58" t="s">
        <v>3945</v>
      </c>
    </row>
    <row r="1429" spans="1:3">
      <c r="A1429" s="58" t="s">
        <v>3946</v>
      </c>
      <c r="B1429" s="58" t="s">
        <v>3947</v>
      </c>
      <c r="C1429" s="58" t="s">
        <v>3948</v>
      </c>
    </row>
    <row r="1430" spans="1:3">
      <c r="A1430" s="58" t="s">
        <v>3949</v>
      </c>
      <c r="B1430" s="58" t="s">
        <v>3950</v>
      </c>
      <c r="C1430" s="58" t="s">
        <v>3951</v>
      </c>
    </row>
    <row r="1431" spans="1:3">
      <c r="A1431" s="58" t="s">
        <v>3952</v>
      </c>
      <c r="B1431" s="58" t="s">
        <v>3953</v>
      </c>
      <c r="C1431" s="58" t="s">
        <v>3954</v>
      </c>
    </row>
    <row r="1432" spans="1:3">
      <c r="A1432" s="58" t="s">
        <v>3955</v>
      </c>
      <c r="B1432" s="58" t="s">
        <v>3956</v>
      </c>
      <c r="C1432" s="58" t="s">
        <v>3957</v>
      </c>
    </row>
    <row r="1433" spans="1:3">
      <c r="A1433" s="58" t="s">
        <v>3958</v>
      </c>
      <c r="B1433" s="58" t="s">
        <v>3959</v>
      </c>
      <c r="C1433" s="58" t="s">
        <v>3960</v>
      </c>
    </row>
    <row r="1434" spans="1:3">
      <c r="A1434" s="58" t="s">
        <v>3961</v>
      </c>
      <c r="B1434" s="58" t="s">
        <v>3962</v>
      </c>
      <c r="C1434" s="58" t="s">
        <v>3963</v>
      </c>
    </row>
    <row r="1435" spans="1:3">
      <c r="A1435" s="58" t="s">
        <v>3964</v>
      </c>
      <c r="B1435" s="58" t="s">
        <v>3965</v>
      </c>
      <c r="C1435" s="58" t="s">
        <v>3966</v>
      </c>
    </row>
    <row r="1436" spans="1:3">
      <c r="A1436" s="58" t="s">
        <v>3967</v>
      </c>
      <c r="B1436" s="58" t="s">
        <v>3965</v>
      </c>
      <c r="C1436" s="58" t="s">
        <v>3966</v>
      </c>
    </row>
    <row r="1437" spans="1:3">
      <c r="A1437" s="58" t="s">
        <v>3968</v>
      </c>
      <c r="B1437" s="58" t="s">
        <v>3969</v>
      </c>
      <c r="C1437" s="58" t="s">
        <v>3970</v>
      </c>
    </row>
    <row r="1438" spans="1:3">
      <c r="A1438" s="58" t="s">
        <v>3971</v>
      </c>
      <c r="B1438" s="58" t="s">
        <v>3972</v>
      </c>
      <c r="C1438" s="58" t="s">
        <v>3973</v>
      </c>
    </row>
    <row r="1439" spans="1:3">
      <c r="A1439" s="58" t="s">
        <v>3974</v>
      </c>
      <c r="B1439" s="58" t="s">
        <v>3975</v>
      </c>
      <c r="C1439" s="58" t="s">
        <v>3976</v>
      </c>
    </row>
    <row r="1440" spans="1:3">
      <c r="A1440" s="58" t="s">
        <v>3977</v>
      </c>
      <c r="B1440" s="58" t="s">
        <v>3978</v>
      </c>
      <c r="C1440" s="58" t="s">
        <v>3979</v>
      </c>
    </row>
    <row r="1441" spans="1:3">
      <c r="A1441" s="58" t="s">
        <v>3980</v>
      </c>
      <c r="B1441" s="58" t="s">
        <v>3981</v>
      </c>
      <c r="C1441" s="58" t="s">
        <v>3982</v>
      </c>
    </row>
    <row r="1442" spans="1:3">
      <c r="A1442" s="58" t="s">
        <v>3983</v>
      </c>
      <c r="B1442" s="58" t="s">
        <v>3984</v>
      </c>
      <c r="C1442" s="58" t="s">
        <v>3985</v>
      </c>
    </row>
    <row r="1443" spans="1:3">
      <c r="A1443" s="58" t="s">
        <v>3986</v>
      </c>
      <c r="B1443" s="58" t="s">
        <v>3987</v>
      </c>
      <c r="C1443" s="58" t="s">
        <v>3988</v>
      </c>
    </row>
    <row r="1444" spans="1:3">
      <c r="A1444" s="58" t="s">
        <v>3989</v>
      </c>
      <c r="B1444" s="58" t="s">
        <v>3990</v>
      </c>
      <c r="C1444" s="58" t="s">
        <v>3991</v>
      </c>
    </row>
    <row r="1445" spans="1:3">
      <c r="A1445" s="58" t="s">
        <v>3992</v>
      </c>
      <c r="B1445" s="58" t="s">
        <v>3993</v>
      </c>
      <c r="C1445" s="58" t="s">
        <v>3994</v>
      </c>
    </row>
    <row r="1446" spans="1:3">
      <c r="A1446" s="58" t="s">
        <v>3995</v>
      </c>
      <c r="B1446" s="58" t="s">
        <v>3996</v>
      </c>
      <c r="C1446" s="58" t="s">
        <v>3997</v>
      </c>
    </row>
    <row r="1447" spans="1:3">
      <c r="A1447" s="58" t="s">
        <v>3998</v>
      </c>
      <c r="B1447" s="58" t="s">
        <v>3999</v>
      </c>
      <c r="C1447" s="58" t="s">
        <v>4000</v>
      </c>
    </row>
    <row r="1448" spans="1:3">
      <c r="A1448" s="58" t="s">
        <v>4001</v>
      </c>
      <c r="B1448" s="58" t="s">
        <v>4002</v>
      </c>
      <c r="C1448" s="58" t="s">
        <v>4003</v>
      </c>
    </row>
    <row r="1449" spans="1:3">
      <c r="A1449" s="58" t="s">
        <v>4004</v>
      </c>
      <c r="B1449" s="58" t="s">
        <v>4005</v>
      </c>
      <c r="C1449" s="58" t="s">
        <v>4006</v>
      </c>
    </row>
    <row r="1450" spans="1:3">
      <c r="A1450" s="58" t="s">
        <v>4007</v>
      </c>
      <c r="B1450" s="58" t="s">
        <v>4008</v>
      </c>
      <c r="C1450" s="58" t="s">
        <v>4009</v>
      </c>
    </row>
    <row r="1451" spans="1:3">
      <c r="A1451" s="58" t="s">
        <v>4010</v>
      </c>
      <c r="B1451" s="58" t="s">
        <v>4011</v>
      </c>
      <c r="C1451" s="58" t="s">
        <v>4012</v>
      </c>
    </row>
    <row r="1452" spans="1:3">
      <c r="A1452" s="58" t="s">
        <v>4013</v>
      </c>
      <c r="B1452" s="58" t="s">
        <v>4011</v>
      </c>
      <c r="C1452" s="58" t="s">
        <v>4012</v>
      </c>
    </row>
    <row r="1453" spans="1:3">
      <c r="A1453" s="58" t="s">
        <v>4014</v>
      </c>
      <c r="B1453" s="58" t="s">
        <v>4015</v>
      </c>
      <c r="C1453" s="58" t="s">
        <v>4016</v>
      </c>
    </row>
    <row r="1454" spans="1:3">
      <c r="A1454" s="58" t="s">
        <v>4017</v>
      </c>
      <c r="B1454" s="58" t="s">
        <v>4018</v>
      </c>
      <c r="C1454" s="58" t="s">
        <v>4019</v>
      </c>
    </row>
    <row r="1455" spans="1:3">
      <c r="A1455" s="58" t="s">
        <v>4020</v>
      </c>
      <c r="B1455" s="58" t="s">
        <v>4021</v>
      </c>
      <c r="C1455" s="58" t="s">
        <v>4022</v>
      </c>
    </row>
    <row r="1456" spans="1:3">
      <c r="A1456" s="58" t="s">
        <v>4023</v>
      </c>
      <c r="B1456" s="58" t="s">
        <v>4024</v>
      </c>
      <c r="C1456" s="58" t="s">
        <v>4025</v>
      </c>
    </row>
    <row r="1457" spans="1:3">
      <c r="A1457" s="58" t="s">
        <v>4026</v>
      </c>
      <c r="B1457" s="58" t="s">
        <v>4027</v>
      </c>
      <c r="C1457" s="58" t="s">
        <v>4028</v>
      </c>
    </row>
    <row r="1458" spans="1:3">
      <c r="A1458" s="58" t="s">
        <v>4029</v>
      </c>
      <c r="B1458" s="58" t="s">
        <v>4030</v>
      </c>
      <c r="C1458" s="58" t="s">
        <v>4031</v>
      </c>
    </row>
    <row r="1459" spans="1:3">
      <c r="A1459" s="58" t="s">
        <v>4032</v>
      </c>
      <c r="B1459" s="58" t="s">
        <v>4033</v>
      </c>
      <c r="C1459" s="58" t="s">
        <v>4034</v>
      </c>
    </row>
    <row r="1460" spans="1:3">
      <c r="A1460" s="58" t="s">
        <v>4035</v>
      </c>
      <c r="B1460" s="58" t="s">
        <v>4033</v>
      </c>
      <c r="C1460" s="58" t="s">
        <v>4034</v>
      </c>
    </row>
    <row r="1461" spans="1:3">
      <c r="A1461" s="58" t="s">
        <v>4036</v>
      </c>
      <c r="B1461" s="58" t="s">
        <v>4033</v>
      </c>
      <c r="C1461" s="58" t="s">
        <v>4034</v>
      </c>
    </row>
    <row r="1462" spans="1:3">
      <c r="A1462" s="58" t="s">
        <v>4037</v>
      </c>
      <c r="B1462" s="58" t="s">
        <v>4038</v>
      </c>
      <c r="C1462" s="58" t="s">
        <v>4039</v>
      </c>
    </row>
    <row r="1463" spans="1:3">
      <c r="A1463" s="58" t="s">
        <v>4040</v>
      </c>
      <c r="B1463" s="58" t="s">
        <v>4038</v>
      </c>
      <c r="C1463" s="58" t="s">
        <v>4039</v>
      </c>
    </row>
    <row r="1464" spans="1:3">
      <c r="A1464" s="58" t="s">
        <v>4041</v>
      </c>
      <c r="B1464" s="58" t="s">
        <v>4042</v>
      </c>
      <c r="C1464" s="58" t="s">
        <v>4043</v>
      </c>
    </row>
    <row r="1465" spans="1:3">
      <c r="A1465" s="58" t="s">
        <v>4044</v>
      </c>
      <c r="B1465" s="58" t="s">
        <v>4045</v>
      </c>
      <c r="C1465" s="58" t="s">
        <v>4046</v>
      </c>
    </row>
    <row r="1466" spans="1:3">
      <c r="A1466" s="58" t="s">
        <v>4047</v>
      </c>
      <c r="B1466" s="58" t="s">
        <v>4048</v>
      </c>
      <c r="C1466" s="58" t="s">
        <v>4049</v>
      </c>
    </row>
    <row r="1467" spans="1:3">
      <c r="A1467" s="58" t="s">
        <v>4050</v>
      </c>
      <c r="B1467" s="58" t="s">
        <v>4051</v>
      </c>
      <c r="C1467" s="58" t="s">
        <v>4052</v>
      </c>
    </row>
    <row r="1468" spans="1:3">
      <c r="A1468" s="58" t="s">
        <v>4053</v>
      </c>
      <c r="B1468" s="58" t="s">
        <v>4054</v>
      </c>
      <c r="C1468" s="58" t="s">
        <v>4055</v>
      </c>
    </row>
    <row r="1469" spans="1:3">
      <c r="A1469" s="58" t="s">
        <v>4056</v>
      </c>
      <c r="B1469" s="58" t="s">
        <v>4057</v>
      </c>
      <c r="C1469" s="58" t="s">
        <v>4058</v>
      </c>
    </row>
    <row r="1470" spans="1:3">
      <c r="A1470" s="58" t="s">
        <v>4059</v>
      </c>
      <c r="B1470" s="58" t="s">
        <v>4057</v>
      </c>
      <c r="C1470" s="58" t="s">
        <v>4058</v>
      </c>
    </row>
    <row r="1471" spans="1:3">
      <c r="A1471" s="58" t="s">
        <v>4060</v>
      </c>
      <c r="B1471" s="58" t="s">
        <v>4061</v>
      </c>
      <c r="C1471" s="58" t="s">
        <v>4062</v>
      </c>
    </row>
    <row r="1472" spans="1:3">
      <c r="A1472" s="58" t="s">
        <v>4063</v>
      </c>
      <c r="B1472" s="58" t="s">
        <v>4064</v>
      </c>
      <c r="C1472" s="58" t="s">
        <v>4065</v>
      </c>
    </row>
    <row r="1473" spans="1:3">
      <c r="A1473" s="58" t="s">
        <v>4066</v>
      </c>
      <c r="B1473" s="58" t="s">
        <v>4067</v>
      </c>
      <c r="C1473" s="58" t="s">
        <v>4068</v>
      </c>
    </row>
    <row r="1474" spans="1:3">
      <c r="A1474" s="58" t="s">
        <v>4069</v>
      </c>
      <c r="B1474" s="58" t="s">
        <v>4070</v>
      </c>
      <c r="C1474" s="58" t="s">
        <v>4071</v>
      </c>
    </row>
    <row r="1475" spans="1:3">
      <c r="A1475" s="58" t="s">
        <v>4072</v>
      </c>
      <c r="B1475" s="58" t="s">
        <v>4073</v>
      </c>
      <c r="C1475" s="58" t="s">
        <v>4074</v>
      </c>
    </row>
    <row r="1476" spans="1:3">
      <c r="A1476" s="58" t="s">
        <v>4075</v>
      </c>
      <c r="B1476" s="58" t="s">
        <v>4076</v>
      </c>
      <c r="C1476" s="58" t="s">
        <v>4077</v>
      </c>
    </row>
    <row r="1477" spans="1:3">
      <c r="A1477" s="58" t="s">
        <v>4078</v>
      </c>
      <c r="B1477" s="58" t="s">
        <v>4079</v>
      </c>
      <c r="C1477" s="58" t="s">
        <v>4080</v>
      </c>
    </row>
    <row r="1478" spans="1:3">
      <c r="A1478" s="58" t="s">
        <v>4081</v>
      </c>
      <c r="B1478" s="58" t="s">
        <v>4082</v>
      </c>
      <c r="C1478" s="58" t="s">
        <v>4083</v>
      </c>
    </row>
    <row r="1479" spans="1:3">
      <c r="A1479" s="58" t="s">
        <v>4084</v>
      </c>
      <c r="B1479" s="58" t="s">
        <v>4082</v>
      </c>
      <c r="C1479" s="58" t="s">
        <v>4083</v>
      </c>
    </row>
    <row r="1480" spans="1:3">
      <c r="A1480" s="58" t="s">
        <v>4085</v>
      </c>
      <c r="B1480" s="58" t="s">
        <v>4086</v>
      </c>
      <c r="C1480" s="58" t="s">
        <v>4087</v>
      </c>
    </row>
    <row r="1481" spans="1:3">
      <c r="A1481" s="58" t="s">
        <v>4088</v>
      </c>
      <c r="B1481" s="58" t="s">
        <v>4089</v>
      </c>
      <c r="C1481" s="58" t="s">
        <v>4090</v>
      </c>
    </row>
    <row r="1482" spans="1:3">
      <c r="A1482" s="58" t="s">
        <v>4091</v>
      </c>
      <c r="B1482" s="58" t="s">
        <v>4092</v>
      </c>
      <c r="C1482" s="58" t="s">
        <v>4093</v>
      </c>
    </row>
    <row r="1483" spans="1:3">
      <c r="A1483" s="58" t="s">
        <v>4094</v>
      </c>
      <c r="B1483" s="58" t="s">
        <v>4095</v>
      </c>
      <c r="C1483" s="58" t="s">
        <v>4096</v>
      </c>
    </row>
    <row r="1484" spans="1:3">
      <c r="A1484" s="58" t="s">
        <v>4097</v>
      </c>
      <c r="B1484" s="58" t="s">
        <v>4098</v>
      </c>
      <c r="C1484" s="58" t="s">
        <v>4099</v>
      </c>
    </row>
    <row r="1485" spans="1:3">
      <c r="A1485" s="58" t="s">
        <v>4100</v>
      </c>
      <c r="B1485" s="58" t="s">
        <v>4101</v>
      </c>
      <c r="C1485" s="58" t="s">
        <v>4102</v>
      </c>
    </row>
    <row r="1486" spans="1:3">
      <c r="A1486" s="58" t="s">
        <v>4103</v>
      </c>
      <c r="B1486" s="58" t="s">
        <v>4104</v>
      </c>
      <c r="C1486" s="58" t="s">
        <v>4105</v>
      </c>
    </row>
    <row r="1487" spans="1:3">
      <c r="A1487" s="58" t="s">
        <v>4106</v>
      </c>
      <c r="B1487" s="58" t="s">
        <v>4107</v>
      </c>
      <c r="C1487" s="58" t="s">
        <v>4108</v>
      </c>
    </row>
    <row r="1488" spans="1:3">
      <c r="A1488" s="58" t="s">
        <v>4109</v>
      </c>
      <c r="B1488" s="58" t="s">
        <v>4110</v>
      </c>
      <c r="C1488" s="58" t="s">
        <v>4111</v>
      </c>
    </row>
    <row r="1489" spans="1:3">
      <c r="A1489" s="58" t="s">
        <v>4112</v>
      </c>
      <c r="B1489" s="58" t="s">
        <v>4113</v>
      </c>
      <c r="C1489" s="58" t="s">
        <v>4114</v>
      </c>
    </row>
    <row r="1490" spans="1:3">
      <c r="A1490" s="58" t="s">
        <v>4115</v>
      </c>
      <c r="B1490" s="58" t="s">
        <v>4116</v>
      </c>
      <c r="C1490" s="58" t="s">
        <v>4117</v>
      </c>
    </row>
    <row r="1491" spans="1:3">
      <c r="A1491" s="58" t="s">
        <v>4118</v>
      </c>
      <c r="B1491" s="58" t="s">
        <v>4119</v>
      </c>
      <c r="C1491" s="58" t="s">
        <v>4120</v>
      </c>
    </row>
    <row r="1492" spans="1:3">
      <c r="A1492" s="58" t="s">
        <v>4121</v>
      </c>
      <c r="B1492" s="58" t="s">
        <v>4122</v>
      </c>
      <c r="C1492" s="58" t="s">
        <v>4123</v>
      </c>
    </row>
    <row r="1493" spans="1:3">
      <c r="A1493" s="58" t="s">
        <v>4124</v>
      </c>
      <c r="B1493" s="58" t="s">
        <v>4125</v>
      </c>
      <c r="C1493" s="58" t="s">
        <v>4126</v>
      </c>
    </row>
    <row r="1494" spans="1:3">
      <c r="A1494" s="58" t="s">
        <v>4127</v>
      </c>
      <c r="B1494" s="58" t="s">
        <v>4128</v>
      </c>
      <c r="C1494" s="58" t="s">
        <v>4129</v>
      </c>
    </row>
    <row r="1495" spans="1:3">
      <c r="A1495" s="58" t="s">
        <v>4130</v>
      </c>
      <c r="B1495" s="58" t="s">
        <v>4131</v>
      </c>
      <c r="C1495" s="58" t="s">
        <v>4132</v>
      </c>
    </row>
    <row r="1496" spans="1:3">
      <c r="A1496" s="58" t="s">
        <v>4133</v>
      </c>
      <c r="B1496" s="58" t="s">
        <v>4134</v>
      </c>
      <c r="C1496" s="58" t="s">
        <v>4135</v>
      </c>
    </row>
    <row r="1497" spans="1:3">
      <c r="A1497" s="58" t="s">
        <v>4136</v>
      </c>
      <c r="B1497" s="58" t="s">
        <v>4137</v>
      </c>
      <c r="C1497" s="58" t="s">
        <v>4138</v>
      </c>
    </row>
    <row r="1498" spans="1:3">
      <c r="A1498" s="58" t="s">
        <v>4139</v>
      </c>
      <c r="B1498" s="58" t="s">
        <v>4140</v>
      </c>
      <c r="C1498" s="58" t="s">
        <v>4141</v>
      </c>
    </row>
    <row r="1499" spans="1:3">
      <c r="A1499" s="58" t="s">
        <v>4142</v>
      </c>
      <c r="B1499" s="58" t="s">
        <v>4143</v>
      </c>
      <c r="C1499" s="58" t="s">
        <v>4144</v>
      </c>
    </row>
    <row r="1500" spans="1:3">
      <c r="A1500" s="58" t="s">
        <v>4145</v>
      </c>
      <c r="B1500" s="58" t="s">
        <v>4146</v>
      </c>
      <c r="C1500" s="58" t="s">
        <v>4147</v>
      </c>
    </row>
    <row r="1501" spans="1:3">
      <c r="A1501" s="58" t="s">
        <v>4148</v>
      </c>
      <c r="B1501" s="58" t="s">
        <v>4149</v>
      </c>
      <c r="C1501" s="58" t="s">
        <v>4150</v>
      </c>
    </row>
    <row r="1502" spans="1:3">
      <c r="A1502" s="58" t="s">
        <v>4151</v>
      </c>
      <c r="B1502" s="58" t="s">
        <v>4152</v>
      </c>
      <c r="C1502" s="58" t="s">
        <v>4153</v>
      </c>
    </row>
    <row r="1503" spans="1:3">
      <c r="A1503" s="58" t="s">
        <v>4154</v>
      </c>
      <c r="B1503" s="58" t="s">
        <v>4152</v>
      </c>
      <c r="C1503" s="58" t="s">
        <v>4153</v>
      </c>
    </row>
    <row r="1504" spans="1:3">
      <c r="A1504" s="58" t="s">
        <v>4155</v>
      </c>
      <c r="B1504" s="58" t="s">
        <v>4156</v>
      </c>
      <c r="C1504" s="58" t="s">
        <v>4157</v>
      </c>
    </row>
    <row r="1505" spans="1:3">
      <c r="A1505" s="58" t="s">
        <v>4158</v>
      </c>
      <c r="B1505" s="58" t="s">
        <v>4156</v>
      </c>
      <c r="C1505" s="58" t="s">
        <v>4157</v>
      </c>
    </row>
    <row r="1506" spans="1:3">
      <c r="A1506" s="58" t="s">
        <v>4159</v>
      </c>
      <c r="B1506" s="58" t="s">
        <v>4160</v>
      </c>
      <c r="C1506" s="58" t="s">
        <v>4161</v>
      </c>
    </row>
    <row r="1507" spans="1:3">
      <c r="A1507" s="58" t="s">
        <v>4162</v>
      </c>
      <c r="B1507" s="58" t="s">
        <v>4163</v>
      </c>
      <c r="C1507" s="58" t="s">
        <v>4164</v>
      </c>
    </row>
    <row r="1508" spans="1:3">
      <c r="A1508" s="58" t="s">
        <v>4165</v>
      </c>
      <c r="B1508" s="58" t="s">
        <v>4163</v>
      </c>
      <c r="C1508" s="58" t="s">
        <v>4164</v>
      </c>
    </row>
    <row r="1509" spans="1:3">
      <c r="A1509" s="58" t="s">
        <v>4166</v>
      </c>
      <c r="B1509" s="58" t="s">
        <v>4167</v>
      </c>
      <c r="C1509" s="58" t="s">
        <v>4168</v>
      </c>
    </row>
    <row r="1510" spans="1:3">
      <c r="A1510" s="58" t="s">
        <v>4169</v>
      </c>
      <c r="B1510" s="58" t="s">
        <v>4167</v>
      </c>
      <c r="C1510" s="58" t="s">
        <v>4168</v>
      </c>
    </row>
    <row r="1511" spans="1:3">
      <c r="A1511" s="58" t="s">
        <v>4170</v>
      </c>
      <c r="B1511" s="58" t="s">
        <v>4171</v>
      </c>
      <c r="C1511" s="58" t="s">
        <v>4172</v>
      </c>
    </row>
    <row r="1512" spans="1:3">
      <c r="A1512" s="58" t="s">
        <v>4173</v>
      </c>
      <c r="B1512" s="58" t="s">
        <v>4174</v>
      </c>
      <c r="C1512" s="58" t="s">
        <v>4175</v>
      </c>
    </row>
    <row r="1513" spans="1:3">
      <c r="A1513" s="58" t="s">
        <v>4176</v>
      </c>
      <c r="B1513" s="58" t="s">
        <v>4177</v>
      </c>
      <c r="C1513" s="58" t="s">
        <v>4178</v>
      </c>
    </row>
    <row r="1514" spans="1:3">
      <c r="A1514" s="58" t="s">
        <v>4179</v>
      </c>
      <c r="B1514" s="58" t="s">
        <v>4180</v>
      </c>
      <c r="C1514" s="58" t="s">
        <v>4181</v>
      </c>
    </row>
    <row r="1515" spans="1:3">
      <c r="A1515" s="58" t="s">
        <v>4182</v>
      </c>
      <c r="B1515" s="58" t="s">
        <v>4183</v>
      </c>
      <c r="C1515" s="58" t="s">
        <v>4184</v>
      </c>
    </row>
    <row r="1516" spans="1:3">
      <c r="A1516" s="58" t="s">
        <v>4185</v>
      </c>
      <c r="B1516" s="58" t="s">
        <v>4186</v>
      </c>
      <c r="C1516" s="58" t="s">
        <v>4187</v>
      </c>
    </row>
    <row r="1517" spans="1:3">
      <c r="A1517" s="58" t="s">
        <v>4188</v>
      </c>
      <c r="B1517" s="58" t="s">
        <v>4186</v>
      </c>
      <c r="C1517" s="58" t="s">
        <v>4187</v>
      </c>
    </row>
    <row r="1518" spans="1:3">
      <c r="A1518" s="58" t="s">
        <v>4189</v>
      </c>
      <c r="B1518" s="58" t="s">
        <v>4190</v>
      </c>
      <c r="C1518" s="58" t="s">
        <v>4191</v>
      </c>
    </row>
    <row r="1519" spans="1:3">
      <c r="A1519" s="58" t="s">
        <v>4192</v>
      </c>
      <c r="B1519" s="58" t="s">
        <v>4190</v>
      </c>
      <c r="C1519" s="58" t="s">
        <v>4191</v>
      </c>
    </row>
    <row r="1520" spans="1:3">
      <c r="A1520" s="58" t="s">
        <v>4193</v>
      </c>
      <c r="B1520" s="58" t="s">
        <v>4194</v>
      </c>
      <c r="C1520" s="58" t="s">
        <v>4195</v>
      </c>
    </row>
    <row r="1521" spans="1:3">
      <c r="A1521" s="58" t="s">
        <v>4196</v>
      </c>
      <c r="B1521" s="58" t="s">
        <v>4194</v>
      </c>
      <c r="C1521" s="58" t="s">
        <v>4195</v>
      </c>
    </row>
    <row r="1522" spans="1:3">
      <c r="A1522" s="58" t="s">
        <v>4197</v>
      </c>
      <c r="B1522" s="58" t="s">
        <v>4198</v>
      </c>
      <c r="C1522" s="58" t="s">
        <v>4199</v>
      </c>
    </row>
    <row r="1523" spans="1:3">
      <c r="A1523" s="58" t="s">
        <v>4200</v>
      </c>
      <c r="B1523" s="58" t="s">
        <v>4198</v>
      </c>
      <c r="C1523" s="58" t="s">
        <v>4199</v>
      </c>
    </row>
    <row r="1524" spans="1:3">
      <c r="A1524" s="58" t="s">
        <v>4201</v>
      </c>
      <c r="B1524" s="58" t="s">
        <v>4198</v>
      </c>
      <c r="C1524" s="58" t="s">
        <v>4199</v>
      </c>
    </row>
    <row r="1525" spans="1:3">
      <c r="A1525" s="58" t="s">
        <v>4202</v>
      </c>
      <c r="B1525" s="58" t="s">
        <v>4203</v>
      </c>
      <c r="C1525" s="58" t="s">
        <v>4204</v>
      </c>
    </row>
    <row r="1526" spans="1:3">
      <c r="A1526" s="58" t="s">
        <v>4205</v>
      </c>
      <c r="B1526" s="58" t="s">
        <v>4206</v>
      </c>
      <c r="C1526" s="58" t="s">
        <v>4207</v>
      </c>
    </row>
    <row r="1527" spans="1:3">
      <c r="A1527" s="58" t="s">
        <v>4208</v>
      </c>
      <c r="B1527" s="58" t="s">
        <v>4209</v>
      </c>
      <c r="C1527" s="58" t="s">
        <v>4210</v>
      </c>
    </row>
    <row r="1528" spans="1:3">
      <c r="A1528" s="58" t="s">
        <v>4211</v>
      </c>
      <c r="B1528" s="58" t="s">
        <v>4212</v>
      </c>
      <c r="C1528" s="58" t="s">
        <v>4213</v>
      </c>
    </row>
    <row r="1529" spans="1:3">
      <c r="A1529" s="58" t="s">
        <v>4214</v>
      </c>
      <c r="B1529" s="58" t="s">
        <v>4215</v>
      </c>
      <c r="C1529" s="58" t="s">
        <v>4216</v>
      </c>
    </row>
    <row r="1530" spans="1:3">
      <c r="A1530" s="58" t="s">
        <v>4217</v>
      </c>
      <c r="B1530" s="58" t="s">
        <v>4218</v>
      </c>
      <c r="C1530" s="58" t="s">
        <v>4219</v>
      </c>
    </row>
    <row r="1531" spans="1:3">
      <c r="A1531" s="58" t="s">
        <v>4220</v>
      </c>
      <c r="B1531" s="58" t="s">
        <v>4221</v>
      </c>
      <c r="C1531" s="58" t="s">
        <v>4222</v>
      </c>
    </row>
    <row r="1532" spans="1:3">
      <c r="A1532" s="58" t="s">
        <v>4223</v>
      </c>
      <c r="B1532" s="58" t="s">
        <v>4224</v>
      </c>
      <c r="C1532" s="58" t="s">
        <v>4225</v>
      </c>
    </row>
    <row r="1533" spans="1:3">
      <c r="A1533" s="58" t="s">
        <v>4226</v>
      </c>
      <c r="B1533" s="58" t="s">
        <v>4227</v>
      </c>
      <c r="C1533" s="58" t="s">
        <v>4228</v>
      </c>
    </row>
    <row r="1534" spans="1:3">
      <c r="A1534" s="58" t="s">
        <v>4229</v>
      </c>
      <c r="B1534" s="58" t="s">
        <v>4230</v>
      </c>
      <c r="C1534" s="58" t="s">
        <v>4231</v>
      </c>
    </row>
    <row r="1535" spans="1:3">
      <c r="A1535" s="58" t="s">
        <v>4232</v>
      </c>
      <c r="B1535" s="58" t="s">
        <v>4233</v>
      </c>
      <c r="C1535" s="58" t="s">
        <v>4234</v>
      </c>
    </row>
    <row r="1536" spans="1:3">
      <c r="A1536" s="58" t="s">
        <v>4235</v>
      </c>
      <c r="B1536" s="58" t="s">
        <v>4233</v>
      </c>
      <c r="C1536" s="58" t="s">
        <v>4234</v>
      </c>
    </row>
    <row r="1537" spans="1:3">
      <c r="A1537" s="58" t="s">
        <v>4236</v>
      </c>
      <c r="B1537" s="58" t="s">
        <v>4237</v>
      </c>
      <c r="C1537" s="58" t="s">
        <v>4238</v>
      </c>
    </row>
    <row r="1538" spans="1:3">
      <c r="A1538" s="58" t="s">
        <v>4239</v>
      </c>
      <c r="B1538" s="58" t="s">
        <v>4240</v>
      </c>
      <c r="C1538" s="58" t="s">
        <v>4241</v>
      </c>
    </row>
    <row r="1539" spans="1:3">
      <c r="A1539" s="58" t="s">
        <v>4242</v>
      </c>
      <c r="B1539" s="58" t="s">
        <v>4243</v>
      </c>
      <c r="C1539" s="58" t="s">
        <v>4244</v>
      </c>
    </row>
    <row r="1540" spans="1:3">
      <c r="A1540" s="58" t="s">
        <v>4245</v>
      </c>
      <c r="B1540" s="58" t="s">
        <v>4246</v>
      </c>
      <c r="C1540" s="58" t="s">
        <v>4247</v>
      </c>
    </row>
    <row r="1541" spans="1:3">
      <c r="A1541" s="58" t="s">
        <v>4248</v>
      </c>
      <c r="B1541" s="58" t="s">
        <v>4246</v>
      </c>
      <c r="C1541" s="58" t="s">
        <v>4247</v>
      </c>
    </row>
    <row r="1542" spans="1:3">
      <c r="A1542" s="58" t="s">
        <v>4249</v>
      </c>
      <c r="B1542" s="58" t="s">
        <v>4250</v>
      </c>
      <c r="C1542" s="58" t="s">
        <v>4251</v>
      </c>
    </row>
    <row r="1543" spans="1:3">
      <c r="A1543" s="58" t="s">
        <v>4252</v>
      </c>
      <c r="B1543" s="58" t="s">
        <v>4253</v>
      </c>
      <c r="C1543" s="58" t="s">
        <v>4254</v>
      </c>
    </row>
    <row r="1544" spans="1:3">
      <c r="A1544" s="58" t="s">
        <v>4255</v>
      </c>
      <c r="B1544" s="58" t="s">
        <v>4256</v>
      </c>
      <c r="C1544" s="58" t="s">
        <v>4257</v>
      </c>
    </row>
    <row r="1545" spans="1:3">
      <c r="A1545" s="58" t="s">
        <v>4258</v>
      </c>
      <c r="B1545" s="58" t="s">
        <v>4259</v>
      </c>
      <c r="C1545" s="58" t="s">
        <v>4260</v>
      </c>
    </row>
    <row r="1546" spans="1:3">
      <c r="A1546" s="58" t="s">
        <v>4261</v>
      </c>
      <c r="B1546" s="58" t="s">
        <v>4262</v>
      </c>
      <c r="C1546" s="58" t="s">
        <v>4263</v>
      </c>
    </row>
    <row r="1547" spans="1:3">
      <c r="A1547" s="58" t="s">
        <v>4264</v>
      </c>
      <c r="B1547" s="58" t="s">
        <v>4262</v>
      </c>
      <c r="C1547" s="58" t="s">
        <v>4263</v>
      </c>
    </row>
    <row r="1548" spans="1:3">
      <c r="A1548" s="58" t="s">
        <v>4265</v>
      </c>
      <c r="B1548" s="58" t="s">
        <v>4266</v>
      </c>
      <c r="C1548" s="58" t="s">
        <v>4267</v>
      </c>
    </row>
    <row r="1549" spans="1:3">
      <c r="A1549" s="58" t="s">
        <v>4268</v>
      </c>
      <c r="B1549" s="58" t="s">
        <v>4269</v>
      </c>
      <c r="C1549" s="58" t="s">
        <v>4270</v>
      </c>
    </row>
    <row r="1550" spans="1:3">
      <c r="A1550" s="58" t="s">
        <v>4271</v>
      </c>
      <c r="B1550" s="58" t="s">
        <v>4272</v>
      </c>
      <c r="C1550" s="58" t="s">
        <v>4273</v>
      </c>
    </row>
    <row r="1551" spans="1:3">
      <c r="A1551" s="58" t="s">
        <v>4274</v>
      </c>
      <c r="B1551" s="58" t="s">
        <v>4275</v>
      </c>
      <c r="C1551" s="58" t="s">
        <v>4276</v>
      </c>
    </row>
    <row r="1552" spans="1:3">
      <c r="A1552" s="58" t="s">
        <v>4277</v>
      </c>
      <c r="B1552" s="58" t="s">
        <v>4278</v>
      </c>
      <c r="C1552" s="58" t="s">
        <v>4279</v>
      </c>
    </row>
    <row r="1553" spans="1:3">
      <c r="A1553" s="58" t="s">
        <v>4280</v>
      </c>
      <c r="B1553" s="58" t="s">
        <v>4278</v>
      </c>
      <c r="C1553" s="58" t="s">
        <v>4281</v>
      </c>
    </row>
    <row r="1554" spans="1:3">
      <c r="A1554" s="58" t="s">
        <v>4282</v>
      </c>
      <c r="B1554" s="58" t="s">
        <v>4283</v>
      </c>
      <c r="C1554" s="58" t="s">
        <v>4284</v>
      </c>
    </row>
    <row r="1555" spans="1:3">
      <c r="A1555" s="58" t="s">
        <v>4285</v>
      </c>
      <c r="B1555" s="58" t="s">
        <v>4286</v>
      </c>
      <c r="C1555" s="58" t="s">
        <v>4287</v>
      </c>
    </row>
    <row r="1556" spans="1:3">
      <c r="A1556" s="58" t="s">
        <v>4288</v>
      </c>
      <c r="B1556" s="58" t="s">
        <v>4289</v>
      </c>
      <c r="C1556" s="58" t="s">
        <v>4290</v>
      </c>
    </row>
    <row r="1557" spans="1:3">
      <c r="A1557" s="58" t="s">
        <v>4291</v>
      </c>
      <c r="B1557" s="58" t="s">
        <v>4292</v>
      </c>
      <c r="C1557" s="58" t="s">
        <v>4293</v>
      </c>
    </row>
    <row r="1558" spans="1:3">
      <c r="A1558" s="58" t="s">
        <v>4294</v>
      </c>
      <c r="B1558" s="58" t="s">
        <v>4295</v>
      </c>
      <c r="C1558" s="58" t="s">
        <v>4296</v>
      </c>
    </row>
    <row r="1559" spans="1:3">
      <c r="A1559" s="58" t="s">
        <v>4297</v>
      </c>
      <c r="B1559" s="58" t="s">
        <v>4298</v>
      </c>
      <c r="C1559" s="58" t="s">
        <v>4299</v>
      </c>
    </row>
    <row r="1560" spans="1:3">
      <c r="A1560" s="58" t="s">
        <v>4300</v>
      </c>
      <c r="B1560" s="58" t="s">
        <v>4298</v>
      </c>
      <c r="C1560" s="58" t="s">
        <v>4299</v>
      </c>
    </row>
    <row r="1561" spans="1:3">
      <c r="A1561" s="58" t="s">
        <v>4301</v>
      </c>
      <c r="B1561" s="58" t="s">
        <v>4298</v>
      </c>
      <c r="C1561" s="58" t="s">
        <v>4299</v>
      </c>
    </row>
    <row r="1562" spans="1:3">
      <c r="A1562" s="58" t="s">
        <v>4302</v>
      </c>
      <c r="B1562" s="58" t="s">
        <v>4303</v>
      </c>
      <c r="C1562" s="58" t="s">
        <v>4304</v>
      </c>
    </row>
    <row r="1563" spans="1:3">
      <c r="A1563" s="58" t="s">
        <v>4305</v>
      </c>
      <c r="B1563" s="58" t="s">
        <v>4306</v>
      </c>
      <c r="C1563" s="58" t="s">
        <v>4307</v>
      </c>
    </row>
    <row r="1564" spans="1:3">
      <c r="A1564" s="58" t="s">
        <v>4308</v>
      </c>
      <c r="B1564" s="58" t="s">
        <v>4309</v>
      </c>
      <c r="C1564" s="58" t="s">
        <v>4310</v>
      </c>
    </row>
    <row r="1565" spans="1:3">
      <c r="A1565" s="58" t="s">
        <v>4311</v>
      </c>
      <c r="B1565" s="58" t="s">
        <v>4312</v>
      </c>
      <c r="C1565" s="58" t="s">
        <v>4313</v>
      </c>
    </row>
    <row r="1566" spans="1:3">
      <c r="A1566" s="58" t="s">
        <v>4314</v>
      </c>
      <c r="B1566" s="58" t="s">
        <v>4315</v>
      </c>
      <c r="C1566" s="58" t="s">
        <v>4316</v>
      </c>
    </row>
    <row r="1567" spans="1:3">
      <c r="A1567" s="58" t="s">
        <v>4317</v>
      </c>
      <c r="B1567" s="58" t="s">
        <v>4315</v>
      </c>
      <c r="C1567" s="58" t="s">
        <v>4316</v>
      </c>
    </row>
    <row r="1568" spans="1:3">
      <c r="A1568" s="58" t="s">
        <v>4318</v>
      </c>
      <c r="B1568" s="58" t="s">
        <v>4319</v>
      </c>
      <c r="C1568" s="58" t="s">
        <v>4320</v>
      </c>
    </row>
    <row r="1569" spans="1:3">
      <c r="A1569" s="58" t="s">
        <v>4321</v>
      </c>
      <c r="B1569" s="58" t="s">
        <v>4322</v>
      </c>
      <c r="C1569" s="58" t="s">
        <v>4323</v>
      </c>
    </row>
    <row r="1570" spans="1:3">
      <c r="A1570" s="58" t="s">
        <v>4324</v>
      </c>
      <c r="B1570" s="58" t="s">
        <v>4325</v>
      </c>
      <c r="C1570" s="58" t="s">
        <v>4326</v>
      </c>
    </row>
    <row r="1571" spans="1:3">
      <c r="A1571" s="58" t="s">
        <v>4327</v>
      </c>
      <c r="B1571" s="58" t="s">
        <v>4328</v>
      </c>
      <c r="C1571" s="58" t="s">
        <v>4329</v>
      </c>
    </row>
    <row r="1572" spans="1:3">
      <c r="A1572" s="58" t="s">
        <v>4330</v>
      </c>
      <c r="B1572" s="58" t="s">
        <v>4331</v>
      </c>
      <c r="C1572" s="58" t="s">
        <v>4332</v>
      </c>
    </row>
    <row r="1573" spans="1:3">
      <c r="A1573" s="58" t="s">
        <v>4333</v>
      </c>
      <c r="B1573" s="58" t="s">
        <v>4334</v>
      </c>
      <c r="C1573" s="58" t="s">
        <v>4335</v>
      </c>
    </row>
    <row r="1574" spans="1:3">
      <c r="A1574" s="58" t="s">
        <v>4336</v>
      </c>
      <c r="B1574" s="58" t="s">
        <v>4337</v>
      </c>
      <c r="C1574" s="58" t="s">
        <v>4338</v>
      </c>
    </row>
    <row r="1575" spans="1:3">
      <c r="A1575" s="58" t="s">
        <v>4339</v>
      </c>
      <c r="B1575" s="58" t="s">
        <v>4340</v>
      </c>
      <c r="C1575" s="58" t="s">
        <v>4341</v>
      </c>
    </row>
    <row r="1576" spans="1:3">
      <c r="A1576" s="58" t="s">
        <v>4342</v>
      </c>
      <c r="B1576" s="58" t="s">
        <v>4343</v>
      </c>
      <c r="C1576" s="58" t="s">
        <v>4344</v>
      </c>
    </row>
    <row r="1577" spans="1:3">
      <c r="A1577" s="58" t="s">
        <v>4345</v>
      </c>
      <c r="B1577" s="58" t="s">
        <v>4346</v>
      </c>
      <c r="C1577" s="58" t="s">
        <v>4347</v>
      </c>
    </row>
    <row r="1578" spans="1:3">
      <c r="A1578" s="58" t="s">
        <v>4348</v>
      </c>
      <c r="B1578" s="58" t="s">
        <v>4349</v>
      </c>
      <c r="C1578" s="58" t="s">
        <v>4350</v>
      </c>
    </row>
    <row r="1579" spans="1:3">
      <c r="A1579" s="58" t="s">
        <v>4351</v>
      </c>
      <c r="B1579" s="58" t="s">
        <v>4352</v>
      </c>
      <c r="C1579" s="58" t="s">
        <v>4353</v>
      </c>
    </row>
    <row r="1580" spans="1:3">
      <c r="A1580" s="58" t="s">
        <v>4354</v>
      </c>
      <c r="B1580" s="58" t="s">
        <v>4355</v>
      </c>
      <c r="C1580" s="58" t="s">
        <v>4356</v>
      </c>
    </row>
    <row r="1581" spans="1:3">
      <c r="A1581" s="58" t="s">
        <v>4357</v>
      </c>
      <c r="B1581" s="58" t="s">
        <v>4358</v>
      </c>
      <c r="C1581" s="58" t="s">
        <v>4359</v>
      </c>
    </row>
    <row r="1582" spans="1:3">
      <c r="A1582" s="58" t="s">
        <v>4360</v>
      </c>
      <c r="B1582" s="58" t="s">
        <v>4361</v>
      </c>
      <c r="C1582" s="58" t="s">
        <v>4362</v>
      </c>
    </row>
    <row r="1583" spans="1:3">
      <c r="A1583" s="58" t="s">
        <v>4363</v>
      </c>
      <c r="B1583" s="58" t="s">
        <v>4364</v>
      </c>
      <c r="C1583" s="58" t="s">
        <v>4365</v>
      </c>
    </row>
    <row r="1584" spans="1:3">
      <c r="A1584" s="58" t="s">
        <v>4366</v>
      </c>
      <c r="B1584" s="58" t="s">
        <v>4367</v>
      </c>
      <c r="C1584" s="58" t="s">
        <v>4368</v>
      </c>
    </row>
    <row r="1585" spans="1:3">
      <c r="A1585" s="58" t="s">
        <v>4369</v>
      </c>
      <c r="B1585" s="58" t="s">
        <v>4370</v>
      </c>
      <c r="C1585" s="58" t="s">
        <v>4371</v>
      </c>
    </row>
    <row r="1586" spans="1:3">
      <c r="A1586" s="58" t="s">
        <v>4372</v>
      </c>
      <c r="B1586" s="58" t="s">
        <v>4373</v>
      </c>
      <c r="C1586" s="58" t="s">
        <v>4374</v>
      </c>
    </row>
    <row r="1587" spans="1:3">
      <c r="A1587" s="58" t="s">
        <v>4375</v>
      </c>
      <c r="B1587" s="58" t="s">
        <v>4376</v>
      </c>
      <c r="C1587" s="58" t="s">
        <v>4377</v>
      </c>
    </row>
    <row r="1588" spans="1:3">
      <c r="A1588" s="58" t="s">
        <v>4378</v>
      </c>
      <c r="B1588" s="58" t="s">
        <v>4379</v>
      </c>
      <c r="C1588" s="58" t="s">
        <v>4380</v>
      </c>
    </row>
    <row r="1589" spans="1:3">
      <c r="A1589" s="58" t="s">
        <v>4381</v>
      </c>
      <c r="B1589" s="58" t="s">
        <v>4382</v>
      </c>
      <c r="C1589" s="58" t="s">
        <v>4383</v>
      </c>
    </row>
    <row r="1590" spans="1:3">
      <c r="A1590" s="58" t="s">
        <v>4384</v>
      </c>
      <c r="B1590" s="58" t="s">
        <v>4385</v>
      </c>
      <c r="C1590" s="58" t="s">
        <v>4386</v>
      </c>
    </row>
    <row r="1591" spans="1:3">
      <c r="A1591" s="58" t="s">
        <v>4387</v>
      </c>
      <c r="B1591" s="58" t="s">
        <v>4385</v>
      </c>
      <c r="C1591" s="58" t="s">
        <v>4386</v>
      </c>
    </row>
    <row r="1592" spans="1:3">
      <c r="A1592" s="58" t="s">
        <v>4388</v>
      </c>
      <c r="B1592" s="58" t="s">
        <v>4385</v>
      </c>
      <c r="C1592" s="58" t="s">
        <v>4386</v>
      </c>
    </row>
    <row r="1593" spans="1:3">
      <c r="A1593" s="58" t="s">
        <v>4389</v>
      </c>
      <c r="B1593" s="58" t="s">
        <v>4390</v>
      </c>
      <c r="C1593" s="58" t="s">
        <v>4391</v>
      </c>
    </row>
    <row r="1594" spans="1:3">
      <c r="A1594" s="58" t="s">
        <v>4392</v>
      </c>
      <c r="B1594" s="58" t="s">
        <v>4390</v>
      </c>
      <c r="C1594" s="58" t="s">
        <v>4391</v>
      </c>
    </row>
    <row r="1595" spans="1:3">
      <c r="A1595" s="58" t="s">
        <v>4393</v>
      </c>
      <c r="B1595" s="58" t="s">
        <v>4394</v>
      </c>
      <c r="C1595" s="58" t="s">
        <v>4395</v>
      </c>
    </row>
    <row r="1596" spans="1:3">
      <c r="A1596" s="58" t="s">
        <v>4396</v>
      </c>
      <c r="B1596" s="58" t="s">
        <v>4397</v>
      </c>
      <c r="C1596" s="58" t="s">
        <v>4398</v>
      </c>
    </row>
    <row r="1597" spans="1:3">
      <c r="A1597" s="58" t="s">
        <v>4399</v>
      </c>
      <c r="B1597" s="58" t="s">
        <v>4400</v>
      </c>
      <c r="C1597" s="58" t="s">
        <v>4401</v>
      </c>
    </row>
    <row r="1598" spans="1:3">
      <c r="A1598" s="58" t="s">
        <v>4402</v>
      </c>
      <c r="B1598" s="58" t="s">
        <v>4403</v>
      </c>
      <c r="C1598" s="58" t="s">
        <v>4404</v>
      </c>
    </row>
    <row r="1599" spans="1:3">
      <c r="A1599" s="58" t="s">
        <v>4405</v>
      </c>
      <c r="B1599" s="58" t="s">
        <v>4406</v>
      </c>
      <c r="C1599" s="58" t="s">
        <v>4407</v>
      </c>
    </row>
    <row r="1600" spans="1:3">
      <c r="A1600" s="58" t="s">
        <v>4408</v>
      </c>
      <c r="B1600" s="58" t="s">
        <v>4406</v>
      </c>
      <c r="C1600" s="58" t="s">
        <v>4407</v>
      </c>
    </row>
    <row r="1601" spans="1:3">
      <c r="A1601" s="58" t="s">
        <v>4409</v>
      </c>
      <c r="B1601" s="58" t="s">
        <v>4410</v>
      </c>
      <c r="C1601" s="58" t="s">
        <v>4411</v>
      </c>
    </row>
    <row r="1602" spans="1:3">
      <c r="A1602" s="58" t="s">
        <v>4412</v>
      </c>
      <c r="B1602" s="58" t="s">
        <v>4413</v>
      </c>
      <c r="C1602" s="58" t="s">
        <v>4414</v>
      </c>
    </row>
    <row r="1603" spans="1:3">
      <c r="A1603" s="58" t="s">
        <v>4415</v>
      </c>
      <c r="B1603" s="58" t="s">
        <v>4416</v>
      </c>
      <c r="C1603" s="58" t="s">
        <v>4417</v>
      </c>
    </row>
    <row r="1604" spans="1:3">
      <c r="A1604" s="58" t="s">
        <v>4418</v>
      </c>
      <c r="B1604" s="58" t="s">
        <v>4419</v>
      </c>
      <c r="C1604" s="58" t="s">
        <v>4420</v>
      </c>
    </row>
    <row r="1605" spans="1:3">
      <c r="A1605" s="58" t="s">
        <v>4421</v>
      </c>
      <c r="B1605" s="58" t="s">
        <v>4419</v>
      </c>
      <c r="C1605" s="58" t="s">
        <v>4420</v>
      </c>
    </row>
    <row r="1606" spans="1:3">
      <c r="A1606" s="58" t="s">
        <v>4422</v>
      </c>
      <c r="B1606" s="58" t="s">
        <v>4423</v>
      </c>
      <c r="C1606" s="58" t="s">
        <v>4424</v>
      </c>
    </row>
    <row r="1607" spans="1:3">
      <c r="A1607" s="58" t="s">
        <v>4425</v>
      </c>
      <c r="B1607" s="58" t="s">
        <v>4426</v>
      </c>
      <c r="C1607" s="58" t="s">
        <v>4427</v>
      </c>
    </row>
    <row r="1608" spans="1:3">
      <c r="A1608" s="58" t="s">
        <v>4428</v>
      </c>
      <c r="B1608" s="58" t="s">
        <v>4429</v>
      </c>
      <c r="C1608" s="58" t="s">
        <v>4430</v>
      </c>
    </row>
    <row r="1609" spans="1:3">
      <c r="A1609" s="58" t="s">
        <v>4431</v>
      </c>
      <c r="B1609" s="58" t="s">
        <v>4432</v>
      </c>
      <c r="C1609" s="58" t="s">
        <v>4433</v>
      </c>
    </row>
    <row r="1610" spans="1:3">
      <c r="A1610" s="58" t="s">
        <v>4434</v>
      </c>
      <c r="B1610" s="58" t="s">
        <v>4435</v>
      </c>
      <c r="C1610" s="58" t="s">
        <v>4436</v>
      </c>
    </row>
    <row r="1611" spans="1:3">
      <c r="A1611" s="58" t="s">
        <v>4437</v>
      </c>
      <c r="B1611" s="58" t="s">
        <v>4438</v>
      </c>
      <c r="C1611" s="58" t="s">
        <v>4439</v>
      </c>
    </row>
    <row r="1612" spans="1:3">
      <c r="A1612" s="58" t="s">
        <v>4440</v>
      </c>
      <c r="B1612" s="58" t="s">
        <v>4441</v>
      </c>
      <c r="C1612" s="58" t="s">
        <v>4442</v>
      </c>
    </row>
    <row r="1613" spans="1:3">
      <c r="A1613" s="58" t="s">
        <v>4443</v>
      </c>
      <c r="B1613" s="58" t="s">
        <v>4441</v>
      </c>
      <c r="C1613" s="58" t="s">
        <v>4442</v>
      </c>
    </row>
    <row r="1614" spans="1:3">
      <c r="A1614" s="58" t="s">
        <v>4444</v>
      </c>
      <c r="B1614" s="58" t="s">
        <v>4441</v>
      </c>
      <c r="C1614" s="58" t="s">
        <v>4442</v>
      </c>
    </row>
    <row r="1615" spans="1:3">
      <c r="A1615" s="58" t="s">
        <v>4445</v>
      </c>
      <c r="B1615" s="58" t="s">
        <v>4446</v>
      </c>
      <c r="C1615" s="58" t="s">
        <v>4447</v>
      </c>
    </row>
    <row r="1616" spans="1:3">
      <c r="A1616" s="58" t="s">
        <v>4448</v>
      </c>
      <c r="B1616" s="58" t="s">
        <v>4449</v>
      </c>
      <c r="C1616" s="58" t="s">
        <v>4450</v>
      </c>
    </row>
    <row r="1617" spans="1:3">
      <c r="A1617" s="58" t="s">
        <v>4451</v>
      </c>
      <c r="B1617" s="58" t="s">
        <v>4452</v>
      </c>
      <c r="C1617" s="58" t="s">
        <v>4453</v>
      </c>
    </row>
    <row r="1618" spans="1:3">
      <c r="A1618" s="58" t="s">
        <v>4454</v>
      </c>
      <c r="B1618" s="58" t="s">
        <v>4455</v>
      </c>
      <c r="C1618" s="58" t="s">
        <v>4456</v>
      </c>
    </row>
    <row r="1619" spans="1:3">
      <c r="A1619" s="58" t="s">
        <v>4457</v>
      </c>
      <c r="B1619" s="58" t="s">
        <v>4458</v>
      </c>
      <c r="C1619" s="58" t="s">
        <v>4459</v>
      </c>
    </row>
    <row r="1620" spans="1:3">
      <c r="A1620" s="58" t="s">
        <v>4460</v>
      </c>
      <c r="B1620" s="58" t="s">
        <v>4458</v>
      </c>
      <c r="C1620" s="58" t="s">
        <v>4459</v>
      </c>
    </row>
    <row r="1621" spans="1:3">
      <c r="A1621" s="58" t="s">
        <v>4461</v>
      </c>
      <c r="B1621" s="58" t="s">
        <v>4462</v>
      </c>
      <c r="C1621" s="58" t="s">
        <v>4463</v>
      </c>
    </row>
    <row r="1622" spans="1:3">
      <c r="A1622" s="58" t="s">
        <v>4464</v>
      </c>
      <c r="B1622" s="58" t="s">
        <v>4462</v>
      </c>
      <c r="C1622" s="58" t="s">
        <v>4463</v>
      </c>
    </row>
    <row r="1623" spans="1:3">
      <c r="A1623" s="58" t="s">
        <v>4465</v>
      </c>
      <c r="B1623" s="58" t="s">
        <v>4462</v>
      </c>
      <c r="C1623" s="58" t="s">
        <v>4463</v>
      </c>
    </row>
    <row r="1624" spans="1:3">
      <c r="A1624" s="58" t="s">
        <v>4466</v>
      </c>
      <c r="B1624" s="58" t="s">
        <v>4467</v>
      </c>
      <c r="C1624" s="58" t="s">
        <v>4468</v>
      </c>
    </row>
    <row r="1625" spans="1:3">
      <c r="A1625" s="58" t="s">
        <v>4469</v>
      </c>
      <c r="B1625" s="58" t="s">
        <v>4470</v>
      </c>
      <c r="C1625" s="58" t="s">
        <v>4471</v>
      </c>
    </row>
    <row r="1626" spans="1:3">
      <c r="A1626" s="58" t="s">
        <v>4472</v>
      </c>
      <c r="B1626" s="58" t="s">
        <v>4473</v>
      </c>
      <c r="C1626" s="58" t="s">
        <v>4474</v>
      </c>
    </row>
    <row r="1627" spans="1:3">
      <c r="A1627" s="58" t="s">
        <v>4475</v>
      </c>
      <c r="B1627" s="58" t="s">
        <v>4473</v>
      </c>
      <c r="C1627" s="58" t="s">
        <v>4474</v>
      </c>
    </row>
    <row r="1628" spans="1:3">
      <c r="A1628" s="58" t="s">
        <v>4476</v>
      </c>
      <c r="B1628" s="58" t="s">
        <v>4477</v>
      </c>
      <c r="C1628" s="58" t="s">
        <v>4478</v>
      </c>
    </row>
    <row r="1629" spans="1:3">
      <c r="A1629" s="58" t="s">
        <v>4479</v>
      </c>
      <c r="B1629" s="58" t="s">
        <v>4477</v>
      </c>
      <c r="C1629" s="58" t="s">
        <v>4478</v>
      </c>
    </row>
    <row r="1630" spans="1:3">
      <c r="A1630" s="58" t="s">
        <v>4480</v>
      </c>
      <c r="B1630" s="58" t="s">
        <v>4481</v>
      </c>
      <c r="C1630" s="58" t="s">
        <v>4482</v>
      </c>
    </row>
    <row r="1631" spans="1:3">
      <c r="A1631" s="58" t="s">
        <v>4483</v>
      </c>
      <c r="B1631" s="58" t="s">
        <v>4484</v>
      </c>
      <c r="C1631" s="58" t="s">
        <v>4485</v>
      </c>
    </row>
    <row r="1632" spans="1:3">
      <c r="A1632" s="58" t="s">
        <v>4486</v>
      </c>
      <c r="B1632" s="58" t="s">
        <v>4487</v>
      </c>
      <c r="C1632" s="58" t="s">
        <v>4488</v>
      </c>
    </row>
    <row r="1633" spans="1:3">
      <c r="A1633" s="58" t="s">
        <v>4489</v>
      </c>
      <c r="B1633" s="58" t="s">
        <v>4490</v>
      </c>
      <c r="C1633" s="58" t="s">
        <v>4491</v>
      </c>
    </row>
    <row r="1634" spans="1:3">
      <c r="A1634" s="58" t="s">
        <v>4492</v>
      </c>
      <c r="B1634" s="58" t="s">
        <v>4493</v>
      </c>
      <c r="C1634" s="58" t="s">
        <v>4494</v>
      </c>
    </row>
    <row r="1635" spans="1:3">
      <c r="A1635" s="58" t="s">
        <v>4495</v>
      </c>
      <c r="B1635" s="58" t="s">
        <v>4493</v>
      </c>
      <c r="C1635" s="58" t="s">
        <v>4494</v>
      </c>
    </row>
    <row r="1636" spans="1:3">
      <c r="A1636" s="58" t="s">
        <v>4496</v>
      </c>
      <c r="B1636" s="58" t="s">
        <v>4497</v>
      </c>
      <c r="C1636" s="58" t="s">
        <v>4498</v>
      </c>
    </row>
    <row r="1637" spans="1:3">
      <c r="A1637" s="58" t="s">
        <v>4499</v>
      </c>
      <c r="B1637" s="58" t="s">
        <v>4500</v>
      </c>
      <c r="C1637" s="58" t="s">
        <v>4501</v>
      </c>
    </row>
    <row r="1638" spans="1:3">
      <c r="A1638" s="58" t="s">
        <v>4502</v>
      </c>
      <c r="B1638" s="58" t="s">
        <v>4500</v>
      </c>
      <c r="C1638" s="58" t="s">
        <v>4501</v>
      </c>
    </row>
    <row r="1639" spans="1:3">
      <c r="A1639" s="58" t="s">
        <v>4503</v>
      </c>
      <c r="B1639" s="58" t="s">
        <v>4504</v>
      </c>
      <c r="C1639" s="58" t="s">
        <v>4505</v>
      </c>
    </row>
    <row r="1640" spans="1:3">
      <c r="A1640" s="58" t="s">
        <v>4506</v>
      </c>
      <c r="B1640" s="58" t="s">
        <v>4504</v>
      </c>
      <c r="C1640" s="58" t="s">
        <v>4505</v>
      </c>
    </row>
    <row r="1641" spans="1:3">
      <c r="A1641" s="58" t="s">
        <v>4507</v>
      </c>
      <c r="B1641" s="58" t="s">
        <v>4508</v>
      </c>
      <c r="C1641" s="58" t="s">
        <v>4509</v>
      </c>
    </row>
    <row r="1642" spans="1:3">
      <c r="A1642" s="58" t="s">
        <v>4510</v>
      </c>
      <c r="B1642" s="58" t="s">
        <v>4508</v>
      </c>
      <c r="C1642" s="58" t="s">
        <v>4509</v>
      </c>
    </row>
    <row r="1643" spans="1:3">
      <c r="A1643" s="58" t="s">
        <v>4511</v>
      </c>
      <c r="B1643" s="58" t="s">
        <v>4512</v>
      </c>
      <c r="C1643" s="58" t="s">
        <v>4513</v>
      </c>
    </row>
    <row r="1644" spans="1:3">
      <c r="A1644" s="58" t="s">
        <v>4514</v>
      </c>
      <c r="B1644" s="58" t="s">
        <v>4515</v>
      </c>
      <c r="C1644" s="58" t="s">
        <v>4516</v>
      </c>
    </row>
    <row r="1645" spans="1:3">
      <c r="A1645" s="58" t="s">
        <v>4517</v>
      </c>
      <c r="B1645" s="58" t="s">
        <v>4518</v>
      </c>
      <c r="C1645" s="58" t="s">
        <v>4519</v>
      </c>
    </row>
    <row r="1646" spans="1:3">
      <c r="A1646" s="58" t="s">
        <v>4520</v>
      </c>
      <c r="B1646" s="58" t="s">
        <v>4521</v>
      </c>
      <c r="C1646" s="58" t="s">
        <v>4522</v>
      </c>
    </row>
    <row r="1647" spans="1:3">
      <c r="A1647" s="58" t="s">
        <v>4523</v>
      </c>
      <c r="B1647" s="58" t="s">
        <v>4524</v>
      </c>
      <c r="C1647" s="58" t="s">
        <v>4525</v>
      </c>
    </row>
    <row r="1648" spans="1:3">
      <c r="A1648" s="58" t="s">
        <v>4526</v>
      </c>
      <c r="B1648" s="58" t="s">
        <v>4527</v>
      </c>
      <c r="C1648" s="58" t="s">
        <v>4528</v>
      </c>
    </row>
    <row r="1649" spans="1:3">
      <c r="A1649" s="58" t="s">
        <v>4529</v>
      </c>
      <c r="B1649" s="58" t="s">
        <v>4530</v>
      </c>
      <c r="C1649" s="58" t="s">
        <v>4531</v>
      </c>
    </row>
    <row r="1650" spans="1:3">
      <c r="A1650" s="58" t="s">
        <v>4532</v>
      </c>
      <c r="B1650" s="58" t="s">
        <v>4533</v>
      </c>
      <c r="C1650" s="58" t="s">
        <v>4534</v>
      </c>
    </row>
    <row r="1651" spans="1:3">
      <c r="A1651" s="58" t="s">
        <v>4535</v>
      </c>
      <c r="B1651" s="58" t="s">
        <v>4536</v>
      </c>
      <c r="C1651" s="58" t="s">
        <v>4537</v>
      </c>
    </row>
    <row r="1652" spans="1:3">
      <c r="A1652" s="58" t="s">
        <v>4538</v>
      </c>
      <c r="B1652" s="58" t="s">
        <v>4539</v>
      </c>
      <c r="C1652" s="58" t="s">
        <v>4540</v>
      </c>
    </row>
    <row r="1653" spans="1:3">
      <c r="A1653" s="58" t="s">
        <v>4541</v>
      </c>
      <c r="B1653" s="58" t="s">
        <v>4542</v>
      </c>
      <c r="C1653" s="58" t="s">
        <v>4543</v>
      </c>
    </row>
    <row r="1654" spans="1:3">
      <c r="A1654" s="58" t="s">
        <v>4544</v>
      </c>
      <c r="B1654" s="58" t="s">
        <v>4545</v>
      </c>
      <c r="C1654" s="58" t="s">
        <v>4546</v>
      </c>
    </row>
    <row r="1655" spans="1:3">
      <c r="A1655" s="58" t="s">
        <v>4547</v>
      </c>
      <c r="B1655" s="58" t="s">
        <v>4548</v>
      </c>
      <c r="C1655" s="58" t="s">
        <v>4549</v>
      </c>
    </row>
    <row r="1656" spans="1:3">
      <c r="A1656" s="58" t="s">
        <v>4550</v>
      </c>
      <c r="B1656" s="58" t="s">
        <v>4551</v>
      </c>
      <c r="C1656" s="58" t="s">
        <v>4552</v>
      </c>
    </row>
    <row r="1657" spans="1:3">
      <c r="A1657" s="58" t="s">
        <v>4553</v>
      </c>
      <c r="B1657" s="58" t="s">
        <v>4554</v>
      </c>
      <c r="C1657" s="58" t="s">
        <v>4555</v>
      </c>
    </row>
    <row r="1658" spans="1:3">
      <c r="A1658" s="58" t="s">
        <v>4556</v>
      </c>
      <c r="B1658" s="58" t="s">
        <v>4557</v>
      </c>
      <c r="C1658" s="58" t="s">
        <v>4558</v>
      </c>
    </row>
    <row r="1659" spans="1:3">
      <c r="A1659" s="58" t="s">
        <v>4559</v>
      </c>
      <c r="B1659" s="58" t="s">
        <v>4560</v>
      </c>
      <c r="C1659" s="58" t="s">
        <v>4561</v>
      </c>
    </row>
    <row r="1660" spans="1:3">
      <c r="A1660" s="58" t="s">
        <v>4562</v>
      </c>
      <c r="B1660" s="58" t="s">
        <v>4563</v>
      </c>
      <c r="C1660" s="58" t="s">
        <v>4564</v>
      </c>
    </row>
    <row r="1661" spans="1:3">
      <c r="A1661" s="58" t="s">
        <v>4565</v>
      </c>
      <c r="B1661" s="58" t="s">
        <v>4566</v>
      </c>
      <c r="C1661" s="58" t="s">
        <v>4567</v>
      </c>
    </row>
    <row r="1662" spans="1:3">
      <c r="A1662" s="58" t="s">
        <v>4568</v>
      </c>
      <c r="B1662" s="58" t="s">
        <v>4569</v>
      </c>
      <c r="C1662" s="58" t="s">
        <v>4570</v>
      </c>
    </row>
    <row r="1663" spans="1:3">
      <c r="A1663" s="58" t="s">
        <v>4571</v>
      </c>
      <c r="B1663" s="58" t="s">
        <v>4569</v>
      </c>
      <c r="C1663" s="58" t="s">
        <v>4570</v>
      </c>
    </row>
    <row r="1664" spans="1:3">
      <c r="A1664" s="58" t="s">
        <v>4572</v>
      </c>
      <c r="B1664" s="58" t="s">
        <v>4573</v>
      </c>
      <c r="C1664" s="58" t="s">
        <v>4574</v>
      </c>
    </row>
    <row r="1665" spans="1:3">
      <c r="A1665" s="58" t="s">
        <v>4575</v>
      </c>
      <c r="B1665" s="58" t="s">
        <v>4576</v>
      </c>
      <c r="C1665" s="58" t="s">
        <v>4577</v>
      </c>
    </row>
    <row r="1666" spans="1:3">
      <c r="A1666" s="58" t="s">
        <v>4578</v>
      </c>
      <c r="B1666" s="58" t="s">
        <v>4579</v>
      </c>
      <c r="C1666" s="58" t="s">
        <v>4580</v>
      </c>
    </row>
    <row r="1667" spans="1:3">
      <c r="A1667" s="58" t="s">
        <v>4581</v>
      </c>
      <c r="B1667" s="58" t="s">
        <v>4582</v>
      </c>
      <c r="C1667" s="58" t="s">
        <v>4583</v>
      </c>
    </row>
    <row r="1668" spans="1:3">
      <c r="A1668" s="58" t="s">
        <v>4584</v>
      </c>
      <c r="B1668" s="58" t="s">
        <v>4585</v>
      </c>
      <c r="C1668" s="58" t="s">
        <v>4586</v>
      </c>
    </row>
    <row r="1669" spans="1:3">
      <c r="A1669" s="58" t="s">
        <v>4587</v>
      </c>
      <c r="B1669" s="58" t="s">
        <v>4588</v>
      </c>
      <c r="C1669" s="58" t="s">
        <v>4589</v>
      </c>
    </row>
    <row r="1670" spans="1:3">
      <c r="A1670" s="58" t="s">
        <v>4590</v>
      </c>
      <c r="B1670" s="58" t="s">
        <v>4591</v>
      </c>
      <c r="C1670" s="58" t="s">
        <v>4592</v>
      </c>
    </row>
    <row r="1671" spans="1:3">
      <c r="A1671" s="58" t="s">
        <v>4593</v>
      </c>
      <c r="B1671" s="58" t="s">
        <v>4594</v>
      </c>
      <c r="C1671" s="58" t="s">
        <v>4595</v>
      </c>
    </row>
    <row r="1672" spans="1:3">
      <c r="A1672" s="58" t="s">
        <v>4596</v>
      </c>
      <c r="B1672" s="58" t="s">
        <v>4597</v>
      </c>
      <c r="C1672" s="58" t="s">
        <v>4598</v>
      </c>
    </row>
    <row r="1673" spans="1:3">
      <c r="A1673" s="58" t="s">
        <v>4599</v>
      </c>
      <c r="B1673" s="58" t="s">
        <v>4600</v>
      </c>
      <c r="C1673" s="58" t="s">
        <v>4601</v>
      </c>
    </row>
    <row r="1674" spans="1:3">
      <c r="A1674" s="58" t="s">
        <v>4602</v>
      </c>
      <c r="B1674" s="58" t="s">
        <v>4603</v>
      </c>
      <c r="C1674" s="58" t="s">
        <v>4604</v>
      </c>
    </row>
    <row r="1675" spans="1:3">
      <c r="A1675" s="58" t="s">
        <v>4605</v>
      </c>
      <c r="B1675" s="58" t="s">
        <v>4606</v>
      </c>
      <c r="C1675" s="58" t="s">
        <v>4607</v>
      </c>
    </row>
    <row r="1676" spans="1:3">
      <c r="A1676" s="58" t="s">
        <v>4608</v>
      </c>
      <c r="B1676" s="58" t="s">
        <v>4609</v>
      </c>
      <c r="C1676" s="58" t="s">
        <v>4610</v>
      </c>
    </row>
    <row r="1677" spans="1:3">
      <c r="A1677" s="58" t="s">
        <v>4611</v>
      </c>
      <c r="B1677" s="58" t="s">
        <v>4612</v>
      </c>
      <c r="C1677" s="58" t="s">
        <v>4613</v>
      </c>
    </row>
    <row r="1678" spans="1:3">
      <c r="A1678" s="58" t="s">
        <v>4614</v>
      </c>
      <c r="B1678" s="58" t="s">
        <v>4615</v>
      </c>
      <c r="C1678" s="58" t="s">
        <v>4616</v>
      </c>
    </row>
    <row r="1679" spans="1:3">
      <c r="A1679" s="58" t="s">
        <v>4617</v>
      </c>
      <c r="B1679" s="58" t="s">
        <v>4615</v>
      </c>
      <c r="C1679" s="58" t="s">
        <v>4616</v>
      </c>
    </row>
    <row r="1680" spans="1:3">
      <c r="A1680" s="58" t="s">
        <v>4618</v>
      </c>
      <c r="B1680" s="58" t="s">
        <v>4619</v>
      </c>
      <c r="C1680" s="58" t="s">
        <v>4620</v>
      </c>
    </row>
    <row r="1681" spans="1:3">
      <c r="A1681" s="58" t="s">
        <v>4621</v>
      </c>
      <c r="B1681" s="58" t="s">
        <v>4619</v>
      </c>
      <c r="C1681" s="58" t="s">
        <v>4620</v>
      </c>
    </row>
    <row r="1682" spans="1:3">
      <c r="A1682" s="58" t="s">
        <v>4622</v>
      </c>
      <c r="B1682" s="58" t="s">
        <v>4623</v>
      </c>
      <c r="C1682" s="58" t="s">
        <v>4624</v>
      </c>
    </row>
    <row r="1683" spans="1:3">
      <c r="A1683" s="58" t="s">
        <v>4625</v>
      </c>
      <c r="B1683" s="58" t="s">
        <v>4623</v>
      </c>
      <c r="C1683" s="58" t="s">
        <v>4624</v>
      </c>
    </row>
    <row r="1684" spans="1:3">
      <c r="A1684" s="58" t="s">
        <v>4626</v>
      </c>
      <c r="B1684" s="58" t="s">
        <v>4627</v>
      </c>
      <c r="C1684" s="58" t="s">
        <v>4628</v>
      </c>
    </row>
    <row r="1685" spans="1:3">
      <c r="A1685" s="58" t="s">
        <v>4629</v>
      </c>
      <c r="B1685" s="58" t="s">
        <v>4630</v>
      </c>
      <c r="C1685" s="58" t="s">
        <v>4631</v>
      </c>
    </row>
    <row r="1686" spans="1:3">
      <c r="A1686" s="58" t="s">
        <v>4632</v>
      </c>
      <c r="B1686" s="58" t="s">
        <v>4633</v>
      </c>
      <c r="C1686" s="58" t="s">
        <v>4634</v>
      </c>
    </row>
    <row r="1687" spans="1:3">
      <c r="A1687" s="58" t="s">
        <v>4635</v>
      </c>
      <c r="B1687" s="58" t="s">
        <v>4636</v>
      </c>
      <c r="C1687" s="58" t="s">
        <v>4637</v>
      </c>
    </row>
    <row r="1688" spans="1:3">
      <c r="A1688" s="58" t="s">
        <v>4638</v>
      </c>
      <c r="B1688" s="58" t="s">
        <v>4639</v>
      </c>
      <c r="C1688" s="58" t="s">
        <v>4640</v>
      </c>
    </row>
    <row r="1689" spans="1:3">
      <c r="A1689" s="58" t="s">
        <v>4641</v>
      </c>
      <c r="B1689" s="58" t="s">
        <v>4642</v>
      </c>
      <c r="C1689" s="58" t="s">
        <v>4643</v>
      </c>
    </row>
    <row r="1690" spans="1:3">
      <c r="A1690" s="58" t="s">
        <v>4644</v>
      </c>
      <c r="B1690" s="58" t="s">
        <v>4645</v>
      </c>
      <c r="C1690" s="58" t="s">
        <v>4646</v>
      </c>
    </row>
    <row r="1691" spans="1:3">
      <c r="A1691" s="58" t="s">
        <v>4647</v>
      </c>
      <c r="B1691" s="58" t="s">
        <v>4645</v>
      </c>
      <c r="C1691" s="58" t="s">
        <v>4646</v>
      </c>
    </row>
    <row r="1692" spans="1:3">
      <c r="A1692" s="58" t="s">
        <v>4648</v>
      </c>
      <c r="B1692" s="58" t="s">
        <v>4645</v>
      </c>
      <c r="C1692" s="58" t="s">
        <v>4646</v>
      </c>
    </row>
    <row r="1693" spans="1:3">
      <c r="A1693" s="58" t="s">
        <v>4649</v>
      </c>
      <c r="B1693" s="58" t="s">
        <v>4650</v>
      </c>
      <c r="C1693" s="58" t="s">
        <v>4651</v>
      </c>
    </row>
    <row r="1694" spans="1:3">
      <c r="A1694" s="58" t="s">
        <v>4652</v>
      </c>
      <c r="B1694" s="58" t="s">
        <v>4653</v>
      </c>
      <c r="C1694" s="58" t="s">
        <v>4654</v>
      </c>
    </row>
    <row r="1695" spans="1:3">
      <c r="A1695" s="58" t="s">
        <v>4655</v>
      </c>
      <c r="B1695" s="58" t="s">
        <v>4656</v>
      </c>
      <c r="C1695" s="58" t="s">
        <v>4657</v>
      </c>
    </row>
    <row r="1696" spans="1:3">
      <c r="A1696" s="58" t="s">
        <v>4658</v>
      </c>
      <c r="B1696" s="58" t="s">
        <v>4656</v>
      </c>
      <c r="C1696" s="58" t="s">
        <v>4657</v>
      </c>
    </row>
    <row r="1697" spans="1:3">
      <c r="A1697" s="58" t="s">
        <v>4659</v>
      </c>
      <c r="B1697" s="58" t="s">
        <v>4660</v>
      </c>
      <c r="C1697" s="58" t="s">
        <v>4661</v>
      </c>
    </row>
    <row r="1698" spans="1:3">
      <c r="A1698" s="58" t="s">
        <v>4662</v>
      </c>
      <c r="B1698" s="58" t="s">
        <v>4660</v>
      </c>
      <c r="C1698" s="58" t="s">
        <v>4661</v>
      </c>
    </row>
    <row r="1699" spans="1:3">
      <c r="A1699" s="58" t="s">
        <v>4663</v>
      </c>
      <c r="B1699" s="58" t="s">
        <v>4664</v>
      </c>
      <c r="C1699" s="58" t="s">
        <v>4665</v>
      </c>
    </row>
    <row r="1700" spans="1:3">
      <c r="A1700" s="58" t="s">
        <v>4666</v>
      </c>
      <c r="B1700" s="58" t="s">
        <v>4667</v>
      </c>
      <c r="C1700" s="58" t="s">
        <v>4668</v>
      </c>
    </row>
    <row r="1701" spans="1:3">
      <c r="A1701" s="58" t="s">
        <v>4669</v>
      </c>
      <c r="B1701" s="58" t="s">
        <v>4670</v>
      </c>
      <c r="C1701" s="58" t="s">
        <v>4671</v>
      </c>
    </row>
    <row r="1702" spans="1:3">
      <c r="A1702" s="58" t="s">
        <v>4672</v>
      </c>
      <c r="B1702" s="58" t="s">
        <v>4673</v>
      </c>
      <c r="C1702" s="58" t="s">
        <v>4674</v>
      </c>
    </row>
    <row r="1703" spans="1:3">
      <c r="A1703" s="58" t="s">
        <v>4675</v>
      </c>
      <c r="B1703" s="58" t="s">
        <v>4676</v>
      </c>
      <c r="C1703" s="58" t="s">
        <v>4677</v>
      </c>
    </row>
    <row r="1704" spans="1:3">
      <c r="A1704" s="58" t="s">
        <v>4678</v>
      </c>
      <c r="B1704" s="58" t="s">
        <v>4679</v>
      </c>
      <c r="C1704" s="58" t="s">
        <v>4680</v>
      </c>
    </row>
    <row r="1705" spans="1:3">
      <c r="A1705" s="58" t="s">
        <v>4681</v>
      </c>
      <c r="B1705" s="58" t="s">
        <v>4682</v>
      </c>
      <c r="C1705" s="58" t="s">
        <v>4683</v>
      </c>
    </row>
    <row r="1706" spans="1:3">
      <c r="A1706" s="58" t="s">
        <v>4684</v>
      </c>
      <c r="B1706" s="58" t="s">
        <v>4685</v>
      </c>
      <c r="C1706" s="58" t="s">
        <v>4686</v>
      </c>
    </row>
    <row r="1707" spans="1:3">
      <c r="A1707" s="58" t="s">
        <v>4687</v>
      </c>
      <c r="B1707" s="58" t="s">
        <v>4688</v>
      </c>
      <c r="C1707" s="58" t="s">
        <v>4689</v>
      </c>
    </row>
    <row r="1708" spans="1:3">
      <c r="A1708" s="58" t="s">
        <v>4690</v>
      </c>
      <c r="B1708" s="58" t="s">
        <v>4688</v>
      </c>
      <c r="C1708" s="58" t="s">
        <v>4689</v>
      </c>
    </row>
    <row r="1709" spans="1:3">
      <c r="A1709" s="58" t="s">
        <v>4691</v>
      </c>
      <c r="B1709" s="58" t="s">
        <v>4692</v>
      </c>
      <c r="C1709" s="58" t="s">
        <v>4693</v>
      </c>
    </row>
    <row r="1710" spans="1:3">
      <c r="A1710" s="58" t="s">
        <v>4694</v>
      </c>
      <c r="B1710" s="58" t="s">
        <v>4695</v>
      </c>
      <c r="C1710" s="58" t="s">
        <v>4696</v>
      </c>
    </row>
    <row r="1711" spans="1:3">
      <c r="A1711" s="58" t="s">
        <v>4697</v>
      </c>
      <c r="B1711" s="58" t="s">
        <v>4698</v>
      </c>
      <c r="C1711" s="58" t="s">
        <v>4699</v>
      </c>
    </row>
    <row r="1712" spans="1:3">
      <c r="A1712" s="58" t="s">
        <v>4700</v>
      </c>
      <c r="B1712" s="58" t="s">
        <v>4701</v>
      </c>
      <c r="C1712" s="58" t="s">
        <v>4702</v>
      </c>
    </row>
    <row r="1713" spans="1:3">
      <c r="A1713" s="58" t="s">
        <v>4703</v>
      </c>
      <c r="B1713" s="58" t="s">
        <v>4704</v>
      </c>
      <c r="C1713" s="58" t="s">
        <v>4705</v>
      </c>
    </row>
    <row r="1714" spans="1:3">
      <c r="A1714" s="58" t="s">
        <v>4706</v>
      </c>
      <c r="B1714" s="58" t="s">
        <v>4704</v>
      </c>
      <c r="C1714" s="58" t="s">
        <v>4705</v>
      </c>
    </row>
    <row r="1715" spans="1:3">
      <c r="A1715" s="58" t="s">
        <v>4707</v>
      </c>
      <c r="B1715" s="58" t="s">
        <v>4708</v>
      </c>
      <c r="C1715" s="58" t="s">
        <v>4709</v>
      </c>
    </row>
    <row r="1716" spans="1:3">
      <c r="A1716" s="58" t="s">
        <v>4710</v>
      </c>
      <c r="B1716" s="58" t="s">
        <v>4708</v>
      </c>
      <c r="C1716" s="58" t="s">
        <v>4709</v>
      </c>
    </row>
    <row r="1717" spans="1:3">
      <c r="A1717" s="58" t="s">
        <v>4711</v>
      </c>
      <c r="B1717" s="58" t="s">
        <v>4712</v>
      </c>
      <c r="C1717" s="58" t="s">
        <v>4713</v>
      </c>
    </row>
    <row r="1718" spans="1:3">
      <c r="A1718" s="58" t="s">
        <v>4714</v>
      </c>
      <c r="B1718" s="58" t="s">
        <v>4712</v>
      </c>
      <c r="C1718" s="58" t="s">
        <v>4713</v>
      </c>
    </row>
    <row r="1719" spans="1:3">
      <c r="A1719" s="58" t="s">
        <v>4715</v>
      </c>
      <c r="B1719" s="58" t="s">
        <v>4716</v>
      </c>
      <c r="C1719" s="58" t="s">
        <v>4717</v>
      </c>
    </row>
    <row r="1720" spans="1:3">
      <c r="A1720" s="58" t="s">
        <v>4718</v>
      </c>
      <c r="B1720" s="58" t="s">
        <v>4716</v>
      </c>
      <c r="C1720" s="58" t="s">
        <v>4717</v>
      </c>
    </row>
    <row r="1721" spans="1:3">
      <c r="A1721" s="58" t="s">
        <v>4719</v>
      </c>
      <c r="B1721" s="58" t="s">
        <v>4720</v>
      </c>
      <c r="C1721" s="58" t="s">
        <v>4721</v>
      </c>
    </row>
    <row r="1722" spans="1:3">
      <c r="A1722" s="58" t="s">
        <v>4722</v>
      </c>
      <c r="B1722" s="58" t="s">
        <v>4723</v>
      </c>
      <c r="C1722" s="58" t="s">
        <v>4724</v>
      </c>
    </row>
    <row r="1723" spans="1:3">
      <c r="A1723" s="58" t="s">
        <v>4725</v>
      </c>
      <c r="B1723" s="58" t="s">
        <v>4726</v>
      </c>
      <c r="C1723" s="58" t="s">
        <v>4727</v>
      </c>
    </row>
    <row r="1724" spans="1:3">
      <c r="A1724" s="58" t="s">
        <v>4728</v>
      </c>
      <c r="B1724" s="58" t="s">
        <v>4729</v>
      </c>
      <c r="C1724" s="58" t="s">
        <v>4730</v>
      </c>
    </row>
    <row r="1725" spans="1:3">
      <c r="A1725" s="58" t="s">
        <v>4731</v>
      </c>
      <c r="B1725" s="58" t="s">
        <v>4732</v>
      </c>
      <c r="C1725" s="58" t="s">
        <v>4733</v>
      </c>
    </row>
    <row r="1726" spans="1:3">
      <c r="A1726" s="58" t="s">
        <v>4734</v>
      </c>
      <c r="B1726" s="58" t="s">
        <v>4735</v>
      </c>
      <c r="C1726" s="58" t="s">
        <v>4736</v>
      </c>
    </row>
    <row r="1727" spans="1:3">
      <c r="A1727" s="58" t="s">
        <v>4737</v>
      </c>
      <c r="B1727" s="58" t="s">
        <v>4738</v>
      </c>
      <c r="C1727" s="58" t="s">
        <v>4739</v>
      </c>
    </row>
    <row r="1728" spans="1:3">
      <c r="A1728" s="58" t="s">
        <v>4740</v>
      </c>
      <c r="B1728" s="58" t="s">
        <v>4741</v>
      </c>
      <c r="C1728" s="58" t="s">
        <v>4742</v>
      </c>
    </row>
    <row r="1729" spans="1:3">
      <c r="A1729" s="58" t="s">
        <v>4743</v>
      </c>
      <c r="B1729" s="58" t="s">
        <v>4744</v>
      </c>
      <c r="C1729" s="58" t="s">
        <v>4745</v>
      </c>
    </row>
    <row r="1730" spans="1:3">
      <c r="A1730" s="58" t="s">
        <v>4746</v>
      </c>
      <c r="B1730" s="58" t="s">
        <v>4747</v>
      </c>
      <c r="C1730" s="58" t="s">
        <v>4748</v>
      </c>
    </row>
    <row r="1731" spans="1:3">
      <c r="A1731" s="58" t="s">
        <v>4749</v>
      </c>
      <c r="B1731" s="58" t="s">
        <v>4747</v>
      </c>
      <c r="C1731" s="58" t="s">
        <v>4748</v>
      </c>
    </row>
    <row r="1732" spans="1:3">
      <c r="A1732" s="58" t="s">
        <v>4750</v>
      </c>
      <c r="B1732" s="58" t="s">
        <v>4751</v>
      </c>
      <c r="C1732" s="58" t="s">
        <v>4752</v>
      </c>
    </row>
    <row r="1733" spans="1:3">
      <c r="A1733" s="58" t="s">
        <v>4753</v>
      </c>
      <c r="B1733" s="58" t="s">
        <v>4751</v>
      </c>
      <c r="C1733" s="58" t="s">
        <v>4752</v>
      </c>
    </row>
    <row r="1734" spans="1:3">
      <c r="A1734" s="58" t="s">
        <v>4754</v>
      </c>
      <c r="B1734" s="58" t="s">
        <v>4755</v>
      </c>
      <c r="C1734" s="58" t="s">
        <v>4756</v>
      </c>
    </row>
    <row r="1735" spans="1:3">
      <c r="A1735" s="58" t="s">
        <v>4757</v>
      </c>
      <c r="B1735" s="58" t="s">
        <v>4755</v>
      </c>
      <c r="C1735" s="58" t="s">
        <v>4756</v>
      </c>
    </row>
    <row r="1736" spans="1:3">
      <c r="A1736" s="58" t="s">
        <v>4758</v>
      </c>
      <c r="B1736" s="58" t="s">
        <v>4759</v>
      </c>
      <c r="C1736" s="58" t="s">
        <v>4760</v>
      </c>
    </row>
    <row r="1737" spans="1:3">
      <c r="A1737" s="58" t="s">
        <v>4761</v>
      </c>
      <c r="B1737" s="58" t="s">
        <v>4762</v>
      </c>
      <c r="C1737" s="58" t="s">
        <v>4763</v>
      </c>
    </row>
    <row r="1738" spans="1:3">
      <c r="A1738" s="58" t="s">
        <v>4764</v>
      </c>
      <c r="B1738" s="58" t="s">
        <v>4765</v>
      </c>
      <c r="C1738" s="58" t="s">
        <v>4766</v>
      </c>
    </row>
    <row r="1739" spans="1:3">
      <c r="A1739" s="58" t="s">
        <v>4767</v>
      </c>
      <c r="B1739" s="58" t="s">
        <v>4768</v>
      </c>
      <c r="C1739" s="58" t="s">
        <v>4769</v>
      </c>
    </row>
    <row r="1740" spans="1:3">
      <c r="A1740" s="58" t="s">
        <v>4770</v>
      </c>
      <c r="B1740" s="58" t="s">
        <v>4771</v>
      </c>
      <c r="C1740" s="58" t="s">
        <v>4772</v>
      </c>
    </row>
    <row r="1741" spans="1:3">
      <c r="A1741" s="58" t="s">
        <v>4773</v>
      </c>
      <c r="B1741" s="58" t="s">
        <v>4774</v>
      </c>
      <c r="C1741" s="58" t="s">
        <v>4775</v>
      </c>
    </row>
    <row r="1742" spans="1:3">
      <c r="A1742" s="58" t="s">
        <v>4776</v>
      </c>
      <c r="B1742" s="58" t="s">
        <v>4777</v>
      </c>
      <c r="C1742" s="58" t="s">
        <v>4778</v>
      </c>
    </row>
    <row r="1743" spans="1:3">
      <c r="A1743" s="58" t="s">
        <v>4779</v>
      </c>
      <c r="B1743" s="58" t="s">
        <v>4777</v>
      </c>
      <c r="C1743" s="58" t="s">
        <v>4778</v>
      </c>
    </row>
    <row r="1744" spans="1:3">
      <c r="A1744" s="58" t="s">
        <v>4780</v>
      </c>
      <c r="B1744" s="58" t="s">
        <v>4781</v>
      </c>
      <c r="C1744" s="58" t="s">
        <v>4782</v>
      </c>
    </row>
    <row r="1745" spans="1:3">
      <c r="A1745" s="58" t="s">
        <v>4783</v>
      </c>
      <c r="B1745" s="58" t="s">
        <v>4784</v>
      </c>
      <c r="C1745" s="58" t="s">
        <v>4785</v>
      </c>
    </row>
    <row r="1746" spans="1:3">
      <c r="A1746" s="58" t="s">
        <v>4786</v>
      </c>
      <c r="B1746" s="58" t="s">
        <v>4787</v>
      </c>
      <c r="C1746" s="58" t="s">
        <v>4788</v>
      </c>
    </row>
    <row r="1747" spans="1:3">
      <c r="A1747" s="58" t="s">
        <v>4789</v>
      </c>
      <c r="B1747" s="58" t="s">
        <v>4790</v>
      </c>
      <c r="C1747" s="58" t="s">
        <v>4791</v>
      </c>
    </row>
    <row r="1748" spans="1:3">
      <c r="A1748" s="58" t="s">
        <v>4792</v>
      </c>
      <c r="B1748" s="58" t="s">
        <v>4790</v>
      </c>
      <c r="C1748" s="58" t="s">
        <v>4791</v>
      </c>
    </row>
    <row r="1749" spans="1:3">
      <c r="A1749" s="58" t="s">
        <v>4793</v>
      </c>
      <c r="B1749" s="58" t="s">
        <v>4794</v>
      </c>
      <c r="C1749" s="58" t="s">
        <v>4795</v>
      </c>
    </row>
    <row r="1750" spans="1:3">
      <c r="A1750" s="58" t="s">
        <v>4796</v>
      </c>
      <c r="B1750" s="58" t="s">
        <v>4797</v>
      </c>
      <c r="C1750" s="58" t="s">
        <v>4798</v>
      </c>
    </row>
    <row r="1751" spans="1:3">
      <c r="A1751" s="58" t="s">
        <v>4799</v>
      </c>
      <c r="B1751" s="58" t="s">
        <v>4800</v>
      </c>
      <c r="C1751" s="58" t="s">
        <v>4801</v>
      </c>
    </row>
    <row r="1752" spans="1:3">
      <c r="A1752" s="58" t="s">
        <v>4802</v>
      </c>
      <c r="B1752" s="58" t="s">
        <v>4803</v>
      </c>
      <c r="C1752" s="58" t="s">
        <v>4804</v>
      </c>
    </row>
    <row r="1753" spans="1:3">
      <c r="A1753" s="58" t="s">
        <v>4805</v>
      </c>
      <c r="B1753" s="58" t="s">
        <v>4806</v>
      </c>
      <c r="C1753" s="58" t="s">
        <v>4807</v>
      </c>
    </row>
    <row r="1754" spans="1:3">
      <c r="A1754" s="58" t="s">
        <v>4808</v>
      </c>
      <c r="B1754" s="58" t="s">
        <v>4806</v>
      </c>
      <c r="C1754" s="58" t="s">
        <v>4807</v>
      </c>
    </row>
    <row r="1755" spans="1:3">
      <c r="A1755" s="58" t="s">
        <v>4809</v>
      </c>
      <c r="B1755" s="58" t="s">
        <v>4810</v>
      </c>
      <c r="C1755" s="58" t="s">
        <v>4811</v>
      </c>
    </row>
    <row r="1756" spans="1:3">
      <c r="A1756" s="58" t="s">
        <v>4812</v>
      </c>
      <c r="B1756" s="58" t="s">
        <v>4813</v>
      </c>
      <c r="C1756" s="58" t="s">
        <v>4814</v>
      </c>
    </row>
    <row r="1757" spans="1:3">
      <c r="A1757" s="58" t="s">
        <v>4815</v>
      </c>
      <c r="B1757" s="58" t="s">
        <v>4816</v>
      </c>
      <c r="C1757" s="58" t="s">
        <v>4817</v>
      </c>
    </row>
    <row r="1758" spans="1:3">
      <c r="A1758" s="58" t="s">
        <v>4818</v>
      </c>
      <c r="B1758" s="58" t="s">
        <v>4819</v>
      </c>
      <c r="C1758" s="58" t="s">
        <v>4820</v>
      </c>
    </row>
    <row r="1759" spans="1:3">
      <c r="A1759" s="58" t="s">
        <v>4821</v>
      </c>
      <c r="B1759" s="58" t="s">
        <v>4822</v>
      </c>
      <c r="C1759" s="58" t="s">
        <v>4823</v>
      </c>
    </row>
    <row r="1760" spans="1:3">
      <c r="A1760" s="58" t="s">
        <v>4824</v>
      </c>
      <c r="B1760" s="58" t="s">
        <v>4822</v>
      </c>
      <c r="C1760" s="58" t="s">
        <v>4823</v>
      </c>
    </row>
    <row r="1761" spans="1:3">
      <c r="A1761" s="58" t="s">
        <v>4825</v>
      </c>
      <c r="B1761" s="58" t="s">
        <v>4822</v>
      </c>
      <c r="C1761" s="58" t="s">
        <v>4823</v>
      </c>
    </row>
    <row r="1762" spans="1:3">
      <c r="A1762" s="58" t="s">
        <v>4826</v>
      </c>
      <c r="B1762" s="58" t="s">
        <v>4827</v>
      </c>
      <c r="C1762" s="58" t="s">
        <v>4828</v>
      </c>
    </row>
    <row r="1763" spans="1:3">
      <c r="A1763" s="58" t="s">
        <v>4829</v>
      </c>
      <c r="B1763" s="58" t="s">
        <v>4827</v>
      </c>
      <c r="C1763" s="58" t="s">
        <v>4828</v>
      </c>
    </row>
    <row r="1764" spans="1:3">
      <c r="A1764" s="58" t="s">
        <v>4830</v>
      </c>
      <c r="B1764" s="58" t="s">
        <v>4831</v>
      </c>
      <c r="C1764" s="58" t="s">
        <v>4832</v>
      </c>
    </row>
    <row r="1765" spans="1:3">
      <c r="A1765" s="58" t="s">
        <v>4833</v>
      </c>
      <c r="B1765" s="58" t="s">
        <v>4834</v>
      </c>
      <c r="C1765" s="58" t="s">
        <v>4835</v>
      </c>
    </row>
    <row r="1766" spans="1:3">
      <c r="A1766" s="58" t="s">
        <v>4836</v>
      </c>
      <c r="B1766" s="58" t="s">
        <v>4837</v>
      </c>
      <c r="C1766" s="58" t="s">
        <v>4838</v>
      </c>
    </row>
    <row r="1767" spans="1:3">
      <c r="A1767" s="58" t="s">
        <v>4839</v>
      </c>
      <c r="B1767" s="58" t="s">
        <v>4840</v>
      </c>
      <c r="C1767" s="58" t="s">
        <v>4841</v>
      </c>
    </row>
    <row r="1768" spans="1:3">
      <c r="A1768" s="58" t="s">
        <v>4842</v>
      </c>
      <c r="B1768" s="58" t="s">
        <v>4843</v>
      </c>
      <c r="C1768" s="58" t="s">
        <v>4844</v>
      </c>
    </row>
    <row r="1769" spans="1:3">
      <c r="A1769" s="58" t="s">
        <v>4845</v>
      </c>
      <c r="B1769" s="58" t="s">
        <v>4846</v>
      </c>
      <c r="C1769" s="58" t="s">
        <v>4847</v>
      </c>
    </row>
    <row r="1770" spans="1:3">
      <c r="A1770" s="58" t="s">
        <v>4848</v>
      </c>
      <c r="B1770" s="58" t="s">
        <v>4849</v>
      </c>
      <c r="C1770" s="58" t="s">
        <v>4850</v>
      </c>
    </row>
    <row r="1771" spans="1:3">
      <c r="A1771" s="58" t="s">
        <v>4851</v>
      </c>
      <c r="B1771" s="58" t="s">
        <v>4852</v>
      </c>
      <c r="C1771" s="58" t="s">
        <v>4853</v>
      </c>
    </row>
    <row r="1772" spans="1:3">
      <c r="A1772" s="58" t="s">
        <v>4854</v>
      </c>
      <c r="B1772" s="58" t="s">
        <v>4855</v>
      </c>
      <c r="C1772" s="58" t="s">
        <v>4856</v>
      </c>
    </row>
    <row r="1773" spans="1:3">
      <c r="A1773" s="58" t="s">
        <v>4857</v>
      </c>
      <c r="B1773" s="58" t="s">
        <v>4858</v>
      </c>
      <c r="C1773" s="58" t="s">
        <v>4859</v>
      </c>
    </row>
    <row r="1774" spans="1:3">
      <c r="A1774" s="58" t="s">
        <v>4860</v>
      </c>
      <c r="B1774" s="58" t="s">
        <v>4861</v>
      </c>
      <c r="C1774" s="58" t="s">
        <v>4862</v>
      </c>
    </row>
    <row r="1775" spans="1:3">
      <c r="A1775" s="58" t="s">
        <v>4863</v>
      </c>
      <c r="B1775" s="58" t="s">
        <v>4864</v>
      </c>
      <c r="C1775" s="58" t="s">
        <v>4865</v>
      </c>
    </row>
    <row r="1776" spans="1:3">
      <c r="A1776" s="58" t="s">
        <v>4866</v>
      </c>
      <c r="B1776" s="58" t="s">
        <v>4867</v>
      </c>
      <c r="C1776" s="58" t="s">
        <v>4868</v>
      </c>
    </row>
    <row r="1777" spans="1:3">
      <c r="A1777" s="58" t="s">
        <v>4869</v>
      </c>
      <c r="B1777" s="58" t="s">
        <v>4870</v>
      </c>
      <c r="C1777" s="58" t="s">
        <v>4871</v>
      </c>
    </row>
    <row r="1778" spans="1:3">
      <c r="A1778" s="58" t="s">
        <v>4872</v>
      </c>
      <c r="B1778" s="58" t="s">
        <v>4873</v>
      </c>
      <c r="C1778" s="58" t="s">
        <v>4874</v>
      </c>
    </row>
    <row r="1779" spans="1:3">
      <c r="A1779" s="58" t="s">
        <v>4875</v>
      </c>
      <c r="B1779" s="58" t="s">
        <v>4876</v>
      </c>
      <c r="C1779" s="58" t="s">
        <v>4877</v>
      </c>
    </row>
    <row r="1780" spans="1:3">
      <c r="A1780" s="58" t="s">
        <v>4878</v>
      </c>
      <c r="B1780" s="58" t="s">
        <v>4876</v>
      </c>
      <c r="C1780" s="58" t="s">
        <v>4877</v>
      </c>
    </row>
    <row r="1781" spans="1:3">
      <c r="A1781" s="58" t="s">
        <v>4879</v>
      </c>
      <c r="B1781" s="58" t="s">
        <v>4880</v>
      </c>
      <c r="C1781" s="58" t="s">
        <v>4881</v>
      </c>
    </row>
    <row r="1782" spans="1:3">
      <c r="A1782" s="58" t="s">
        <v>4882</v>
      </c>
      <c r="B1782" s="58" t="s">
        <v>4883</v>
      </c>
      <c r="C1782" s="58" t="s">
        <v>4884</v>
      </c>
    </row>
    <row r="1783" spans="1:3">
      <c r="A1783" s="58" t="s">
        <v>4885</v>
      </c>
      <c r="B1783" s="58" t="s">
        <v>4886</v>
      </c>
      <c r="C1783" s="58" t="s">
        <v>4887</v>
      </c>
    </row>
    <row r="1784" spans="1:3">
      <c r="A1784" s="58" t="s">
        <v>4888</v>
      </c>
      <c r="B1784" s="58" t="s">
        <v>4889</v>
      </c>
      <c r="C1784" s="58" t="s">
        <v>4890</v>
      </c>
    </row>
    <row r="1785" spans="1:3">
      <c r="A1785" s="58" t="s">
        <v>4891</v>
      </c>
      <c r="B1785" s="58" t="s">
        <v>4892</v>
      </c>
      <c r="C1785" s="58" t="s">
        <v>4893</v>
      </c>
    </row>
    <row r="1786" spans="1:3">
      <c r="A1786" s="58" t="s">
        <v>4894</v>
      </c>
      <c r="B1786" s="58" t="s">
        <v>4895</v>
      </c>
      <c r="C1786" s="58" t="s">
        <v>4896</v>
      </c>
    </row>
    <row r="1787" spans="1:3">
      <c r="A1787" s="58" t="s">
        <v>4897</v>
      </c>
      <c r="B1787" s="58" t="s">
        <v>4895</v>
      </c>
      <c r="C1787" s="58" t="s">
        <v>4896</v>
      </c>
    </row>
    <row r="1788" spans="1:3">
      <c r="A1788" s="58" t="s">
        <v>4898</v>
      </c>
      <c r="B1788" s="58" t="s">
        <v>4899</v>
      </c>
      <c r="C1788" s="58" t="s">
        <v>4900</v>
      </c>
    </row>
    <row r="1789" spans="1:3">
      <c r="A1789" s="58" t="s">
        <v>4901</v>
      </c>
      <c r="B1789" s="58" t="s">
        <v>4902</v>
      </c>
      <c r="C1789" s="58" t="s">
        <v>4903</v>
      </c>
    </row>
    <row r="1790" spans="1:3">
      <c r="A1790" s="58" t="s">
        <v>4904</v>
      </c>
      <c r="B1790" s="58" t="s">
        <v>4905</v>
      </c>
      <c r="C1790" s="58" t="s">
        <v>4906</v>
      </c>
    </row>
    <row r="1791" spans="1:3">
      <c r="A1791" s="58" t="s">
        <v>4907</v>
      </c>
      <c r="B1791" s="58" t="s">
        <v>4908</v>
      </c>
      <c r="C1791" s="58" t="s">
        <v>4909</v>
      </c>
    </row>
    <row r="1792" spans="1:3">
      <c r="A1792" s="58" t="s">
        <v>4910</v>
      </c>
      <c r="B1792" s="58" t="s">
        <v>4911</v>
      </c>
      <c r="C1792" s="58" t="s">
        <v>4912</v>
      </c>
    </row>
    <row r="1793" spans="1:3">
      <c r="A1793" s="58" t="s">
        <v>4913</v>
      </c>
      <c r="B1793" s="58" t="s">
        <v>4914</v>
      </c>
      <c r="C1793" s="58" t="s">
        <v>4915</v>
      </c>
    </row>
    <row r="1794" spans="1:3">
      <c r="A1794" s="58" t="s">
        <v>4916</v>
      </c>
      <c r="B1794" s="58" t="s">
        <v>4917</v>
      </c>
      <c r="C1794" s="58" t="s">
        <v>4918</v>
      </c>
    </row>
    <row r="1795" spans="1:3">
      <c r="A1795" s="58" t="s">
        <v>4919</v>
      </c>
      <c r="B1795" s="58" t="s">
        <v>4920</v>
      </c>
      <c r="C1795" s="58" t="s">
        <v>4921</v>
      </c>
    </row>
    <row r="1796" spans="1:3">
      <c r="A1796" s="58" t="s">
        <v>4922</v>
      </c>
      <c r="B1796" s="58" t="s">
        <v>4923</v>
      </c>
      <c r="C1796" s="58" t="s">
        <v>4924</v>
      </c>
    </row>
    <row r="1797" spans="1:3">
      <c r="A1797" s="58" t="s">
        <v>4925</v>
      </c>
      <c r="B1797" s="58" t="s">
        <v>4926</v>
      </c>
      <c r="C1797" s="58" t="s">
        <v>4927</v>
      </c>
    </row>
    <row r="1798" spans="1:3">
      <c r="A1798" s="58" t="s">
        <v>4928</v>
      </c>
      <c r="B1798" s="58" t="s">
        <v>4929</v>
      </c>
      <c r="C1798" s="58" t="s">
        <v>4930</v>
      </c>
    </row>
    <row r="1799" spans="1:3">
      <c r="A1799" s="58" t="s">
        <v>4931</v>
      </c>
      <c r="B1799" s="58" t="s">
        <v>4932</v>
      </c>
      <c r="C1799" s="58" t="s">
        <v>4933</v>
      </c>
    </row>
    <row r="1800" spans="1:3">
      <c r="A1800" s="58" t="s">
        <v>4934</v>
      </c>
      <c r="B1800" s="58" t="s">
        <v>4935</v>
      </c>
      <c r="C1800" s="58" t="s">
        <v>4936</v>
      </c>
    </row>
    <row r="1801" spans="1:3">
      <c r="A1801" s="58" t="s">
        <v>4937</v>
      </c>
      <c r="B1801" s="58" t="s">
        <v>4938</v>
      </c>
      <c r="C1801" s="58" t="s">
        <v>4939</v>
      </c>
    </row>
    <row r="1802" spans="1:3">
      <c r="A1802" s="58" t="s">
        <v>4940</v>
      </c>
      <c r="B1802" s="58" t="s">
        <v>4941</v>
      </c>
      <c r="C1802" s="58" t="s">
        <v>4942</v>
      </c>
    </row>
    <row r="1803" spans="1:3">
      <c r="A1803" s="58" t="s">
        <v>4943</v>
      </c>
      <c r="B1803" s="58" t="s">
        <v>4944</v>
      </c>
      <c r="C1803" s="58" t="s">
        <v>4945</v>
      </c>
    </row>
    <row r="1804" spans="1:3">
      <c r="A1804" s="58" t="s">
        <v>4946</v>
      </c>
      <c r="B1804" s="58" t="s">
        <v>4947</v>
      </c>
      <c r="C1804" s="58" t="s">
        <v>4948</v>
      </c>
    </row>
    <row r="1805" spans="1:3">
      <c r="A1805" s="58" t="s">
        <v>4949</v>
      </c>
      <c r="B1805" s="58" t="s">
        <v>4950</v>
      </c>
      <c r="C1805" s="58" t="s">
        <v>4951</v>
      </c>
    </row>
    <row r="1806" spans="1:3">
      <c r="A1806" s="58" t="s">
        <v>4952</v>
      </c>
      <c r="B1806" s="58" t="s">
        <v>4953</v>
      </c>
      <c r="C1806" s="58" t="s">
        <v>4954</v>
      </c>
    </row>
    <row r="1807" spans="1:3">
      <c r="A1807" s="58" t="s">
        <v>4955</v>
      </c>
      <c r="B1807" s="58" t="s">
        <v>4956</v>
      </c>
      <c r="C1807" s="58" t="s">
        <v>4957</v>
      </c>
    </row>
    <row r="1808" spans="1:3">
      <c r="A1808" s="58" t="s">
        <v>4958</v>
      </c>
      <c r="B1808" s="58" t="s">
        <v>4959</v>
      </c>
      <c r="C1808" s="58" t="s">
        <v>4960</v>
      </c>
    </row>
    <row r="1809" spans="1:3">
      <c r="A1809" s="58" t="s">
        <v>4961</v>
      </c>
      <c r="B1809" s="58" t="s">
        <v>4962</v>
      </c>
      <c r="C1809" s="58" t="s">
        <v>4963</v>
      </c>
    </row>
    <row r="1810" spans="1:3">
      <c r="A1810" s="58" t="s">
        <v>4964</v>
      </c>
      <c r="B1810" s="58" t="s">
        <v>4962</v>
      </c>
      <c r="C1810" s="58" t="s">
        <v>4963</v>
      </c>
    </row>
    <row r="1811" spans="1:3">
      <c r="A1811" s="58" t="s">
        <v>4965</v>
      </c>
      <c r="B1811" s="58" t="s">
        <v>4966</v>
      </c>
      <c r="C1811" s="58" t="s">
        <v>4967</v>
      </c>
    </row>
    <row r="1812" spans="1:3">
      <c r="A1812" s="58" t="s">
        <v>4968</v>
      </c>
      <c r="B1812" s="58" t="s">
        <v>4969</v>
      </c>
      <c r="C1812" s="58" t="s">
        <v>4970</v>
      </c>
    </row>
    <row r="1813" spans="1:3">
      <c r="A1813" s="58" t="s">
        <v>4971</v>
      </c>
      <c r="B1813" s="58" t="s">
        <v>4972</v>
      </c>
      <c r="C1813" s="58" t="s">
        <v>4973</v>
      </c>
    </row>
    <row r="1814" spans="1:3">
      <c r="A1814" s="58" t="s">
        <v>4974</v>
      </c>
      <c r="B1814" s="58" t="s">
        <v>4975</v>
      </c>
      <c r="C1814" s="58" t="s">
        <v>4976</v>
      </c>
    </row>
    <row r="1815" spans="1:3">
      <c r="A1815" s="58" t="s">
        <v>4977</v>
      </c>
      <c r="B1815" s="58" t="s">
        <v>4978</v>
      </c>
      <c r="C1815" s="58" t="s">
        <v>4979</v>
      </c>
    </row>
    <row r="1816" spans="1:3">
      <c r="A1816" s="58" t="s">
        <v>4980</v>
      </c>
      <c r="B1816" s="58" t="s">
        <v>4981</v>
      </c>
      <c r="C1816" s="58" t="s">
        <v>4982</v>
      </c>
    </row>
    <row r="1817" spans="1:3">
      <c r="A1817" s="58" t="s">
        <v>4983</v>
      </c>
      <c r="B1817" s="58" t="s">
        <v>4984</v>
      </c>
      <c r="C1817" s="58" t="s">
        <v>4985</v>
      </c>
    </row>
    <row r="1818" spans="1:3">
      <c r="A1818" s="58" t="s">
        <v>4986</v>
      </c>
      <c r="B1818" s="58" t="s">
        <v>4987</v>
      </c>
      <c r="C1818" s="58" t="s">
        <v>4988</v>
      </c>
    </row>
    <row r="1819" spans="1:3">
      <c r="A1819" s="58" t="s">
        <v>4989</v>
      </c>
      <c r="B1819" s="58" t="s">
        <v>4990</v>
      </c>
      <c r="C1819" s="58" t="s">
        <v>4991</v>
      </c>
    </row>
    <row r="1820" spans="1:3">
      <c r="A1820" s="58" t="s">
        <v>4992</v>
      </c>
      <c r="B1820" s="58" t="s">
        <v>4993</v>
      </c>
      <c r="C1820" s="58" t="s">
        <v>4994</v>
      </c>
    </row>
    <row r="1821" spans="1:3">
      <c r="A1821" s="58" t="s">
        <v>4995</v>
      </c>
      <c r="B1821" s="58" t="s">
        <v>4996</v>
      </c>
      <c r="C1821" s="58" t="s">
        <v>4997</v>
      </c>
    </row>
    <row r="1822" spans="1:3">
      <c r="A1822" s="58" t="s">
        <v>4998</v>
      </c>
      <c r="B1822" s="58" t="s">
        <v>4999</v>
      </c>
      <c r="C1822" s="58" t="s">
        <v>5000</v>
      </c>
    </row>
    <row r="1823" spans="1:3">
      <c r="A1823" s="58" t="s">
        <v>5001</v>
      </c>
      <c r="B1823" s="58" t="s">
        <v>5002</v>
      </c>
      <c r="C1823" s="58" t="s">
        <v>5003</v>
      </c>
    </row>
    <row r="1824" spans="1:3">
      <c r="A1824" s="58" t="s">
        <v>5004</v>
      </c>
      <c r="B1824" s="58" t="s">
        <v>5005</v>
      </c>
      <c r="C1824" s="58" t="s">
        <v>5006</v>
      </c>
    </row>
    <row r="1825" spans="1:3">
      <c r="A1825" s="58" t="s">
        <v>5007</v>
      </c>
      <c r="B1825" s="58" t="s">
        <v>5008</v>
      </c>
      <c r="C1825" s="58" t="s">
        <v>5009</v>
      </c>
    </row>
    <row r="1826" spans="1:3">
      <c r="A1826" s="58" t="s">
        <v>5010</v>
      </c>
      <c r="B1826" s="58" t="s">
        <v>5011</v>
      </c>
      <c r="C1826" s="58" t="s">
        <v>5012</v>
      </c>
    </row>
    <row r="1827" spans="1:3">
      <c r="A1827" s="58" t="s">
        <v>5013</v>
      </c>
      <c r="B1827" s="58" t="s">
        <v>5014</v>
      </c>
      <c r="C1827" s="58" t="s">
        <v>5015</v>
      </c>
    </row>
    <row r="1828" spans="1:3">
      <c r="A1828" s="58" t="s">
        <v>5016</v>
      </c>
      <c r="B1828" s="58" t="s">
        <v>5017</v>
      </c>
      <c r="C1828" s="58" t="s">
        <v>5018</v>
      </c>
    </row>
    <row r="1829" spans="1:3">
      <c r="A1829" s="58" t="s">
        <v>5019</v>
      </c>
      <c r="B1829" s="58" t="s">
        <v>5020</v>
      </c>
      <c r="C1829" s="58" t="s">
        <v>5021</v>
      </c>
    </row>
    <row r="1830" spans="1:3">
      <c r="A1830" s="58" t="s">
        <v>5022</v>
      </c>
      <c r="B1830" s="58" t="s">
        <v>5023</v>
      </c>
      <c r="C1830" s="58" t="s">
        <v>5024</v>
      </c>
    </row>
    <row r="1831" spans="1:3">
      <c r="A1831" s="58" t="s">
        <v>5025</v>
      </c>
      <c r="B1831" s="58" t="s">
        <v>5026</v>
      </c>
      <c r="C1831" s="58" t="s">
        <v>5027</v>
      </c>
    </row>
    <row r="1832" spans="1:3">
      <c r="A1832" s="58" t="s">
        <v>5028</v>
      </c>
      <c r="B1832" s="58" t="s">
        <v>5029</v>
      </c>
      <c r="C1832" s="58" t="s">
        <v>5027</v>
      </c>
    </row>
    <row r="1833" spans="1:3">
      <c r="A1833" s="58" t="s">
        <v>5030</v>
      </c>
      <c r="B1833" s="58" t="s">
        <v>5029</v>
      </c>
      <c r="C1833" s="58" t="s">
        <v>5027</v>
      </c>
    </row>
    <row r="1834" spans="1:3">
      <c r="A1834" s="58" t="s">
        <v>5031</v>
      </c>
      <c r="B1834" s="58" t="s">
        <v>5032</v>
      </c>
      <c r="C1834" s="58" t="s">
        <v>5033</v>
      </c>
    </row>
    <row r="1835" spans="1:3">
      <c r="A1835" s="58" t="s">
        <v>5034</v>
      </c>
      <c r="B1835" s="58" t="s">
        <v>5035</v>
      </c>
      <c r="C1835" s="58" t="s">
        <v>5036</v>
      </c>
    </row>
    <row r="1836" spans="1:3">
      <c r="A1836" s="58" t="s">
        <v>5037</v>
      </c>
      <c r="B1836" s="58" t="s">
        <v>5038</v>
      </c>
      <c r="C1836" s="58" t="s">
        <v>5039</v>
      </c>
    </row>
    <row r="1837" spans="1:3">
      <c r="A1837" s="58" t="s">
        <v>5040</v>
      </c>
      <c r="B1837" s="58" t="s">
        <v>5041</v>
      </c>
      <c r="C1837" s="58" t="s">
        <v>5042</v>
      </c>
    </row>
    <row r="1838" spans="1:3">
      <c r="A1838" s="58" t="s">
        <v>5043</v>
      </c>
      <c r="B1838" s="58" t="s">
        <v>5044</v>
      </c>
      <c r="C1838" s="58" t="s">
        <v>5045</v>
      </c>
    </row>
    <row r="1839" spans="1:3">
      <c r="A1839" s="58" t="s">
        <v>5046</v>
      </c>
      <c r="B1839" s="58" t="s">
        <v>5047</v>
      </c>
      <c r="C1839" s="58" t="s">
        <v>5048</v>
      </c>
    </row>
    <row r="1840" spans="1:3">
      <c r="A1840" s="58" t="s">
        <v>5049</v>
      </c>
      <c r="B1840" s="58" t="s">
        <v>5050</v>
      </c>
      <c r="C1840" s="58" t="s">
        <v>5051</v>
      </c>
    </row>
    <row r="1841" spans="1:3">
      <c r="A1841" s="58" t="s">
        <v>5052</v>
      </c>
      <c r="B1841" s="58" t="s">
        <v>5053</v>
      </c>
      <c r="C1841" s="58" t="s">
        <v>5054</v>
      </c>
    </row>
    <row r="1842" spans="1:3">
      <c r="A1842" s="58" t="s">
        <v>5055</v>
      </c>
      <c r="B1842" s="58" t="s">
        <v>5056</v>
      </c>
      <c r="C1842" s="58" t="s">
        <v>5057</v>
      </c>
    </row>
    <row r="1843" spans="1:3">
      <c r="A1843" s="58" t="s">
        <v>5058</v>
      </c>
      <c r="B1843" s="58" t="s">
        <v>5059</v>
      </c>
      <c r="C1843" s="58" t="s">
        <v>5060</v>
      </c>
    </row>
    <row r="1844" spans="1:3">
      <c r="A1844" s="58" t="s">
        <v>5061</v>
      </c>
      <c r="B1844" s="58" t="s">
        <v>5062</v>
      </c>
      <c r="C1844" s="58" t="s">
        <v>5063</v>
      </c>
    </row>
    <row r="1845" spans="1:3">
      <c r="A1845" s="58" t="s">
        <v>5064</v>
      </c>
      <c r="B1845" s="58" t="s">
        <v>5065</v>
      </c>
      <c r="C1845" s="58" t="s">
        <v>5066</v>
      </c>
    </row>
    <row r="1846" spans="1:3">
      <c r="A1846" s="58" t="s">
        <v>5067</v>
      </c>
      <c r="B1846" s="58" t="s">
        <v>5068</v>
      </c>
      <c r="C1846" s="58" t="s">
        <v>5069</v>
      </c>
    </row>
    <row r="1847" spans="1:3">
      <c r="A1847" s="58" t="s">
        <v>5070</v>
      </c>
      <c r="B1847" s="58" t="s">
        <v>5071</v>
      </c>
      <c r="C1847" s="58" t="s">
        <v>5072</v>
      </c>
    </row>
    <row r="1848" spans="1:3">
      <c r="A1848" s="58" t="s">
        <v>5073</v>
      </c>
      <c r="B1848" s="58" t="s">
        <v>5074</v>
      </c>
      <c r="C1848" s="58" t="s">
        <v>5075</v>
      </c>
    </row>
    <row r="1849" spans="1:3">
      <c r="A1849" s="58" t="s">
        <v>5076</v>
      </c>
      <c r="B1849" s="58" t="s">
        <v>5077</v>
      </c>
      <c r="C1849" s="58" t="s">
        <v>5066</v>
      </c>
    </row>
    <row r="1850" spans="1:3">
      <c r="A1850" s="58" t="s">
        <v>5078</v>
      </c>
      <c r="B1850" s="58" t="s">
        <v>5079</v>
      </c>
      <c r="C1850" s="58" t="s">
        <v>5080</v>
      </c>
    </row>
    <row r="1851" spans="1:3">
      <c r="A1851" s="58" t="s">
        <v>5081</v>
      </c>
      <c r="B1851" s="58" t="s">
        <v>5082</v>
      </c>
      <c r="C1851" s="58" t="s">
        <v>5083</v>
      </c>
    </row>
    <row r="1852" spans="1:3">
      <c r="A1852" s="58" t="s">
        <v>5084</v>
      </c>
      <c r="B1852" s="58" t="s">
        <v>5085</v>
      </c>
      <c r="C1852" s="58" t="s">
        <v>5086</v>
      </c>
    </row>
    <row r="1853" spans="1:3">
      <c r="A1853" s="58" t="s">
        <v>5087</v>
      </c>
      <c r="B1853" s="58" t="s">
        <v>5085</v>
      </c>
      <c r="C1853" s="58" t="s">
        <v>5086</v>
      </c>
    </row>
    <row r="1854" spans="1:3">
      <c r="A1854" s="58" t="s">
        <v>5088</v>
      </c>
      <c r="B1854" s="58" t="s">
        <v>5089</v>
      </c>
      <c r="C1854" s="58" t="s">
        <v>5090</v>
      </c>
    </row>
    <row r="1855" spans="1:3">
      <c r="A1855" s="58" t="s">
        <v>5091</v>
      </c>
      <c r="B1855" s="58" t="s">
        <v>5089</v>
      </c>
      <c r="C1855" s="58" t="s">
        <v>5090</v>
      </c>
    </row>
    <row r="1856" spans="1:3">
      <c r="A1856" s="58" t="s">
        <v>5092</v>
      </c>
      <c r="B1856" s="58" t="s">
        <v>5093</v>
      </c>
      <c r="C1856" s="58" t="s">
        <v>5094</v>
      </c>
    </row>
    <row r="1857" spans="1:3">
      <c r="A1857" s="58" t="s">
        <v>5095</v>
      </c>
      <c r="B1857" s="58" t="s">
        <v>5093</v>
      </c>
      <c r="C1857" s="58" t="s">
        <v>5094</v>
      </c>
    </row>
    <row r="1858" spans="1:3">
      <c r="A1858" s="58" t="s">
        <v>5096</v>
      </c>
      <c r="B1858" s="58" t="s">
        <v>5093</v>
      </c>
      <c r="C1858" s="58" t="s">
        <v>5094</v>
      </c>
    </row>
    <row r="1859" spans="1:3">
      <c r="A1859" s="58" t="s">
        <v>5097</v>
      </c>
      <c r="B1859" s="58" t="s">
        <v>5098</v>
      </c>
      <c r="C1859" s="58" t="s">
        <v>5099</v>
      </c>
    </row>
    <row r="1860" spans="1:3">
      <c r="A1860" s="58" t="s">
        <v>5100</v>
      </c>
      <c r="B1860" s="58" t="s">
        <v>5101</v>
      </c>
      <c r="C1860" s="58" t="s">
        <v>5102</v>
      </c>
    </row>
    <row r="1861" spans="1:3">
      <c r="A1861" s="58" t="s">
        <v>5103</v>
      </c>
      <c r="B1861" s="58" t="s">
        <v>5104</v>
      </c>
      <c r="C1861" s="58" t="s">
        <v>5105</v>
      </c>
    </row>
    <row r="1862" spans="1:3">
      <c r="A1862" s="58" t="s">
        <v>5106</v>
      </c>
      <c r="B1862" s="58" t="s">
        <v>5107</v>
      </c>
      <c r="C1862" s="58" t="s">
        <v>5108</v>
      </c>
    </row>
    <row r="1863" spans="1:3">
      <c r="A1863" s="58" t="s">
        <v>5109</v>
      </c>
      <c r="B1863" s="58" t="s">
        <v>5110</v>
      </c>
      <c r="C1863" s="58" t="s">
        <v>5111</v>
      </c>
    </row>
    <row r="1864" spans="1:3">
      <c r="A1864" s="58" t="s">
        <v>5112</v>
      </c>
      <c r="B1864" s="58" t="s">
        <v>5113</v>
      </c>
      <c r="C1864" s="58" t="s">
        <v>5114</v>
      </c>
    </row>
    <row r="1865" spans="1:3">
      <c r="A1865" s="58" t="s">
        <v>5115</v>
      </c>
      <c r="B1865" s="58" t="s">
        <v>5116</v>
      </c>
      <c r="C1865" s="58" t="s">
        <v>5117</v>
      </c>
    </row>
    <row r="1866" spans="1:3">
      <c r="A1866" s="58" t="s">
        <v>5118</v>
      </c>
      <c r="B1866" s="58" t="s">
        <v>5119</v>
      </c>
      <c r="C1866" s="58" t="s">
        <v>5120</v>
      </c>
    </row>
    <row r="1867" spans="1:3">
      <c r="A1867" s="58" t="s">
        <v>5121</v>
      </c>
      <c r="B1867" s="58" t="s">
        <v>5119</v>
      </c>
      <c r="C1867" s="58" t="s">
        <v>5120</v>
      </c>
    </row>
    <row r="1868" spans="1:3">
      <c r="A1868" s="58" t="s">
        <v>5122</v>
      </c>
      <c r="B1868" s="58" t="s">
        <v>5123</v>
      </c>
      <c r="C1868" s="58" t="s">
        <v>5124</v>
      </c>
    </row>
    <row r="1869" spans="1:3">
      <c r="A1869" s="58" t="s">
        <v>5125</v>
      </c>
      <c r="B1869" s="58" t="s">
        <v>5126</v>
      </c>
      <c r="C1869" s="58" t="s">
        <v>5127</v>
      </c>
    </row>
    <row r="1870" spans="1:3">
      <c r="A1870" s="58" t="s">
        <v>5128</v>
      </c>
      <c r="B1870" s="58" t="s">
        <v>5129</v>
      </c>
      <c r="C1870" s="58" t="s">
        <v>5130</v>
      </c>
    </row>
    <row r="1871" spans="1:3">
      <c r="A1871" s="58" t="s">
        <v>5131</v>
      </c>
      <c r="B1871" s="58" t="s">
        <v>5132</v>
      </c>
      <c r="C1871" s="58" t="s">
        <v>5099</v>
      </c>
    </row>
    <row r="1872" spans="1:3">
      <c r="A1872" s="58" t="s">
        <v>5133</v>
      </c>
      <c r="B1872" s="58" t="s">
        <v>5132</v>
      </c>
      <c r="C1872" s="58" t="s">
        <v>5134</v>
      </c>
    </row>
    <row r="1873" spans="1:3">
      <c r="A1873" s="58" t="s">
        <v>5135</v>
      </c>
      <c r="B1873" s="58" t="s">
        <v>5136</v>
      </c>
      <c r="C1873" s="58" t="s">
        <v>5137</v>
      </c>
    </row>
    <row r="1874" spans="1:3">
      <c r="A1874" s="58" t="s">
        <v>5138</v>
      </c>
      <c r="B1874" s="58" t="s">
        <v>5139</v>
      </c>
      <c r="C1874" s="58" t="s">
        <v>5140</v>
      </c>
    </row>
    <row r="1875" spans="1:3">
      <c r="A1875" s="58" t="s">
        <v>5141</v>
      </c>
      <c r="B1875" s="58" t="s">
        <v>5142</v>
      </c>
      <c r="C1875" s="58" t="s">
        <v>5143</v>
      </c>
    </row>
    <row r="1876" spans="1:3">
      <c r="A1876" s="58" t="s">
        <v>5144</v>
      </c>
      <c r="B1876" s="58" t="s">
        <v>5145</v>
      </c>
      <c r="C1876" s="58" t="s">
        <v>5146</v>
      </c>
    </row>
    <row r="1877" spans="1:3">
      <c r="A1877" s="58" t="s">
        <v>5147</v>
      </c>
      <c r="B1877" s="58" t="s">
        <v>5148</v>
      </c>
      <c r="C1877" s="58" t="s">
        <v>5149</v>
      </c>
    </row>
    <row r="1878" spans="1:3">
      <c r="A1878" s="58" t="s">
        <v>5150</v>
      </c>
      <c r="B1878" s="58" t="s">
        <v>5151</v>
      </c>
      <c r="C1878" s="58" t="s">
        <v>5152</v>
      </c>
    </row>
    <row r="1879" spans="1:3">
      <c r="A1879" s="58" t="s">
        <v>5153</v>
      </c>
      <c r="B1879" s="58" t="s">
        <v>5154</v>
      </c>
      <c r="C1879" s="58" t="s">
        <v>5155</v>
      </c>
    </row>
    <row r="1880" spans="1:3">
      <c r="A1880" s="58" t="s">
        <v>5156</v>
      </c>
      <c r="B1880" s="58" t="s">
        <v>5157</v>
      </c>
      <c r="C1880" s="58" t="s">
        <v>5158</v>
      </c>
    </row>
    <row r="1881" spans="1:3">
      <c r="A1881" s="58" t="s">
        <v>5159</v>
      </c>
      <c r="B1881" s="58" t="s">
        <v>5160</v>
      </c>
      <c r="C1881" s="58" t="s">
        <v>5161</v>
      </c>
    </row>
    <row r="1882" spans="1:3">
      <c r="A1882" s="58" t="s">
        <v>5162</v>
      </c>
      <c r="B1882" s="58" t="s">
        <v>5163</v>
      </c>
      <c r="C1882" s="58" t="s">
        <v>5164</v>
      </c>
    </row>
    <row r="1883" spans="1:3">
      <c r="A1883" s="58" t="s">
        <v>5165</v>
      </c>
      <c r="B1883" s="58" t="s">
        <v>5166</v>
      </c>
      <c r="C1883" s="58" t="s">
        <v>5167</v>
      </c>
    </row>
    <row r="1884" spans="1:3">
      <c r="A1884" s="58" t="s">
        <v>5168</v>
      </c>
      <c r="B1884" s="58" t="s">
        <v>5169</v>
      </c>
      <c r="C1884" s="58" t="s">
        <v>5170</v>
      </c>
    </row>
    <row r="1885" spans="1:3">
      <c r="A1885" s="58" t="s">
        <v>5171</v>
      </c>
      <c r="B1885" s="58" t="s">
        <v>5172</v>
      </c>
      <c r="C1885" s="58" t="s">
        <v>5173</v>
      </c>
    </row>
    <row r="1886" spans="1:3">
      <c r="A1886" s="58" t="s">
        <v>5174</v>
      </c>
      <c r="B1886" s="58" t="s">
        <v>5175</v>
      </c>
      <c r="C1886" s="58" t="s">
        <v>5176</v>
      </c>
    </row>
    <row r="1887" spans="1:3">
      <c r="A1887" s="58" t="s">
        <v>5177</v>
      </c>
      <c r="B1887" s="58" t="s">
        <v>5178</v>
      </c>
      <c r="C1887" s="58" t="s">
        <v>5179</v>
      </c>
    </row>
    <row r="1888" spans="1:3">
      <c r="A1888" s="58" t="s">
        <v>5180</v>
      </c>
      <c r="B1888" s="58" t="s">
        <v>5178</v>
      </c>
      <c r="C1888" s="58" t="s">
        <v>5181</v>
      </c>
    </row>
    <row r="1889" spans="1:3">
      <c r="A1889" s="58" t="s">
        <v>5182</v>
      </c>
      <c r="B1889" s="58" t="s">
        <v>5183</v>
      </c>
      <c r="C1889" s="58" t="s">
        <v>5184</v>
      </c>
    </row>
    <row r="1890" spans="1:3">
      <c r="A1890" s="58" t="s">
        <v>5185</v>
      </c>
      <c r="B1890" s="58" t="s">
        <v>5186</v>
      </c>
      <c r="C1890" s="58" t="s">
        <v>5187</v>
      </c>
    </row>
    <row r="1891" spans="1:3">
      <c r="A1891" s="58" t="s">
        <v>5188</v>
      </c>
      <c r="B1891" s="58" t="s">
        <v>5186</v>
      </c>
      <c r="C1891" s="58" t="s">
        <v>5187</v>
      </c>
    </row>
    <row r="1892" spans="1:3">
      <c r="A1892" s="58" t="s">
        <v>5189</v>
      </c>
      <c r="B1892" s="58" t="s">
        <v>5190</v>
      </c>
      <c r="C1892" s="58" t="s">
        <v>5191</v>
      </c>
    </row>
    <row r="1893" spans="1:3">
      <c r="A1893" s="58" t="s">
        <v>5192</v>
      </c>
      <c r="B1893" s="58" t="s">
        <v>5193</v>
      </c>
      <c r="C1893" s="58" t="s">
        <v>5194</v>
      </c>
    </row>
    <row r="1894" spans="1:3">
      <c r="A1894" s="58" t="s">
        <v>5195</v>
      </c>
      <c r="B1894" s="58" t="s">
        <v>5196</v>
      </c>
      <c r="C1894" s="58" t="s">
        <v>5197</v>
      </c>
    </row>
    <row r="1895" spans="1:3">
      <c r="A1895" s="58" t="s">
        <v>5198</v>
      </c>
      <c r="B1895" s="58" t="s">
        <v>5199</v>
      </c>
      <c r="C1895" s="58" t="s">
        <v>5200</v>
      </c>
    </row>
    <row r="1896" spans="1:3">
      <c r="A1896" s="58" t="s">
        <v>5201</v>
      </c>
      <c r="B1896" s="58" t="s">
        <v>5202</v>
      </c>
      <c r="C1896" s="58" t="s">
        <v>5203</v>
      </c>
    </row>
    <row r="1897" spans="1:3">
      <c r="A1897" s="58" t="s">
        <v>5204</v>
      </c>
      <c r="B1897" s="58" t="s">
        <v>5205</v>
      </c>
      <c r="C1897" s="58" t="s">
        <v>5206</v>
      </c>
    </row>
    <row r="1898" spans="1:3">
      <c r="A1898" s="58" t="s">
        <v>5207</v>
      </c>
      <c r="B1898" s="58" t="s">
        <v>5208</v>
      </c>
      <c r="C1898" s="58" t="s">
        <v>5209</v>
      </c>
    </row>
    <row r="1899" spans="1:3">
      <c r="A1899" s="58" t="s">
        <v>5210</v>
      </c>
      <c r="B1899" s="58" t="s">
        <v>5211</v>
      </c>
      <c r="C1899" s="58" t="s">
        <v>5212</v>
      </c>
    </row>
    <row r="1900" spans="1:3">
      <c r="A1900" s="58" t="s">
        <v>5213</v>
      </c>
      <c r="B1900" s="58" t="s">
        <v>5214</v>
      </c>
      <c r="C1900" s="58" t="s">
        <v>5215</v>
      </c>
    </row>
    <row r="1901" spans="1:3">
      <c r="A1901" s="58" t="s">
        <v>5216</v>
      </c>
      <c r="B1901" s="58" t="s">
        <v>5217</v>
      </c>
      <c r="C1901" s="58" t="s">
        <v>5218</v>
      </c>
    </row>
    <row r="1902" spans="1:3">
      <c r="A1902" s="58" t="s">
        <v>5219</v>
      </c>
      <c r="B1902" s="58" t="s">
        <v>5220</v>
      </c>
      <c r="C1902" s="58" t="s">
        <v>5221</v>
      </c>
    </row>
    <row r="1903" spans="1:3">
      <c r="A1903" s="58" t="s">
        <v>5222</v>
      </c>
      <c r="B1903" s="58" t="s">
        <v>5223</v>
      </c>
      <c r="C1903" s="58" t="s">
        <v>5224</v>
      </c>
    </row>
    <row r="1904" spans="1:3">
      <c r="A1904" s="58" t="s">
        <v>5225</v>
      </c>
      <c r="B1904" s="58" t="s">
        <v>5226</v>
      </c>
      <c r="C1904" s="58" t="s">
        <v>5227</v>
      </c>
    </row>
    <row r="1905" spans="1:3">
      <c r="A1905" s="58" t="s">
        <v>5228</v>
      </c>
      <c r="B1905" s="58" t="s">
        <v>5229</v>
      </c>
      <c r="C1905" s="58" t="s">
        <v>5230</v>
      </c>
    </row>
    <row r="1906" spans="1:3">
      <c r="A1906" s="58" t="s">
        <v>5231</v>
      </c>
      <c r="B1906" s="58" t="s">
        <v>5232</v>
      </c>
      <c r="C1906" s="58" t="s">
        <v>5233</v>
      </c>
    </row>
    <row r="1907" spans="1:3">
      <c r="A1907" s="58" t="s">
        <v>5234</v>
      </c>
      <c r="B1907" s="58" t="s">
        <v>5235</v>
      </c>
      <c r="C1907" s="58" t="s">
        <v>5236</v>
      </c>
    </row>
    <row r="1908" spans="1:3">
      <c r="A1908" s="58" t="s">
        <v>5237</v>
      </c>
      <c r="B1908" s="58" t="s">
        <v>5238</v>
      </c>
      <c r="C1908" s="58" t="s">
        <v>5239</v>
      </c>
    </row>
    <row r="1909" spans="1:3">
      <c r="A1909" s="58" t="s">
        <v>5240</v>
      </c>
      <c r="B1909" s="58" t="s">
        <v>5241</v>
      </c>
      <c r="C1909" s="58" t="s">
        <v>5242</v>
      </c>
    </row>
    <row r="1910" spans="1:3">
      <c r="A1910" s="58" t="s">
        <v>5243</v>
      </c>
      <c r="B1910" s="58" t="s">
        <v>5244</v>
      </c>
      <c r="C1910" s="58" t="s">
        <v>5245</v>
      </c>
    </row>
    <row r="1911" spans="1:3">
      <c r="A1911" s="58" t="s">
        <v>5246</v>
      </c>
      <c r="B1911" s="58" t="s">
        <v>5247</v>
      </c>
      <c r="C1911" s="58" t="s">
        <v>5248</v>
      </c>
    </row>
    <row r="1912" spans="1:3">
      <c r="A1912" s="58" t="s">
        <v>5249</v>
      </c>
      <c r="B1912" s="58" t="s">
        <v>5250</v>
      </c>
      <c r="C1912" s="58" t="s">
        <v>5251</v>
      </c>
    </row>
    <row r="1913" spans="1:3">
      <c r="A1913" s="58" t="s">
        <v>5252</v>
      </c>
      <c r="B1913" s="58" t="s">
        <v>5253</v>
      </c>
      <c r="C1913" s="58" t="s">
        <v>5254</v>
      </c>
    </row>
    <row r="1914" spans="1:3">
      <c r="A1914" s="58" t="s">
        <v>5255</v>
      </c>
      <c r="B1914" s="58" t="s">
        <v>5256</v>
      </c>
      <c r="C1914" s="58" t="s">
        <v>5257</v>
      </c>
    </row>
    <row r="1915" spans="1:3">
      <c r="A1915" s="58" t="s">
        <v>5258</v>
      </c>
      <c r="B1915" s="58" t="s">
        <v>5259</v>
      </c>
      <c r="C1915" s="58" t="s">
        <v>5260</v>
      </c>
    </row>
    <row r="1916" spans="1:3">
      <c r="A1916" s="58" t="s">
        <v>5261</v>
      </c>
      <c r="B1916" s="58" t="s">
        <v>5262</v>
      </c>
      <c r="C1916" s="58" t="s">
        <v>5263</v>
      </c>
    </row>
    <row r="1917" spans="1:3">
      <c r="A1917" s="58" t="s">
        <v>5264</v>
      </c>
      <c r="B1917" s="58" t="s">
        <v>5265</v>
      </c>
      <c r="C1917" s="58" t="s">
        <v>5266</v>
      </c>
    </row>
    <row r="1918" spans="1:3">
      <c r="A1918" s="58" t="s">
        <v>5267</v>
      </c>
      <c r="B1918" s="58" t="s">
        <v>5268</v>
      </c>
      <c r="C1918" s="58" t="s">
        <v>5269</v>
      </c>
    </row>
    <row r="1919" spans="1:3">
      <c r="A1919" s="58" t="s">
        <v>5270</v>
      </c>
      <c r="B1919" s="58" t="s">
        <v>5271</v>
      </c>
      <c r="C1919" s="58" t="s">
        <v>5272</v>
      </c>
    </row>
    <row r="1920" spans="1:3">
      <c r="A1920" s="58" t="s">
        <v>5273</v>
      </c>
      <c r="B1920" s="58" t="s">
        <v>5274</v>
      </c>
      <c r="C1920" s="58" t="s">
        <v>5275</v>
      </c>
    </row>
    <row r="1921" spans="1:3">
      <c r="A1921" s="58" t="s">
        <v>5276</v>
      </c>
      <c r="B1921" s="58" t="s">
        <v>5277</v>
      </c>
      <c r="C1921" s="58" t="s">
        <v>5260</v>
      </c>
    </row>
    <row r="1922" spans="1:3">
      <c r="A1922" s="58" t="s">
        <v>5278</v>
      </c>
      <c r="B1922" s="58" t="s">
        <v>5279</v>
      </c>
      <c r="C1922" s="58" t="s">
        <v>5280</v>
      </c>
    </row>
    <row r="1923" spans="1:3">
      <c r="A1923" s="58" t="s">
        <v>5281</v>
      </c>
      <c r="B1923" s="58" t="s">
        <v>5279</v>
      </c>
      <c r="C1923" s="58" t="s">
        <v>5280</v>
      </c>
    </row>
    <row r="1924" spans="1:3">
      <c r="A1924" s="58" t="s">
        <v>5282</v>
      </c>
      <c r="B1924" s="58" t="s">
        <v>5279</v>
      </c>
      <c r="C1924" s="58" t="s">
        <v>5280</v>
      </c>
    </row>
    <row r="1925" spans="1:3">
      <c r="A1925" s="58" t="s">
        <v>5283</v>
      </c>
      <c r="B1925" s="58" t="s">
        <v>5279</v>
      </c>
      <c r="C1925" s="58" t="s">
        <v>5280</v>
      </c>
    </row>
    <row r="1926" spans="1:3">
      <c r="A1926" s="58" t="s">
        <v>5284</v>
      </c>
      <c r="B1926" s="58" t="s">
        <v>5285</v>
      </c>
      <c r="C1926" s="58" t="s">
        <v>5286</v>
      </c>
    </row>
    <row r="1927" spans="1:3">
      <c r="A1927" s="58" t="s">
        <v>5287</v>
      </c>
      <c r="B1927" s="58" t="s">
        <v>5288</v>
      </c>
      <c r="C1927" s="58" t="s">
        <v>5289</v>
      </c>
    </row>
    <row r="1928" spans="1:3">
      <c r="A1928" s="58" t="s">
        <v>5290</v>
      </c>
      <c r="B1928" s="58" t="s">
        <v>5288</v>
      </c>
      <c r="C1928" s="58" t="s">
        <v>5289</v>
      </c>
    </row>
    <row r="1929" spans="1:3">
      <c r="A1929" s="58" t="s">
        <v>5291</v>
      </c>
      <c r="B1929" s="58" t="s">
        <v>5288</v>
      </c>
      <c r="C1929" s="58" t="s">
        <v>5289</v>
      </c>
    </row>
    <row r="1930" spans="1:3">
      <c r="A1930" s="58" t="s">
        <v>5292</v>
      </c>
      <c r="B1930" s="58" t="s">
        <v>5293</v>
      </c>
      <c r="C1930" s="58" t="s">
        <v>5294</v>
      </c>
    </row>
    <row r="1931" spans="1:3">
      <c r="A1931" s="58" t="s">
        <v>5295</v>
      </c>
      <c r="B1931" s="58" t="s">
        <v>5293</v>
      </c>
      <c r="C1931" s="58" t="s">
        <v>5294</v>
      </c>
    </row>
    <row r="1932" spans="1:3">
      <c r="A1932" s="58" t="s">
        <v>5296</v>
      </c>
      <c r="B1932" s="58" t="s">
        <v>5293</v>
      </c>
      <c r="C1932" s="58" t="s">
        <v>5294</v>
      </c>
    </row>
    <row r="1933" spans="1:3">
      <c r="A1933" s="58" t="s">
        <v>5297</v>
      </c>
      <c r="B1933" s="58" t="s">
        <v>5298</v>
      </c>
      <c r="C1933" s="58" t="s">
        <v>5299</v>
      </c>
    </row>
    <row r="1934" spans="1:3">
      <c r="A1934" s="58" t="s">
        <v>5300</v>
      </c>
      <c r="B1934" s="58" t="s">
        <v>5298</v>
      </c>
      <c r="C1934" s="58" t="s">
        <v>5299</v>
      </c>
    </row>
    <row r="1935" spans="1:3">
      <c r="A1935" s="58" t="s">
        <v>5301</v>
      </c>
      <c r="B1935" s="58" t="s">
        <v>5298</v>
      </c>
      <c r="C1935" s="58" t="s">
        <v>5299</v>
      </c>
    </row>
    <row r="1936" spans="1:3">
      <c r="A1936" s="58" t="s">
        <v>5302</v>
      </c>
      <c r="B1936" s="58" t="s">
        <v>5303</v>
      </c>
      <c r="C1936" s="58" t="s">
        <v>5304</v>
      </c>
    </row>
    <row r="1937" spans="1:3">
      <c r="A1937" s="58" t="s">
        <v>5305</v>
      </c>
      <c r="B1937" s="58" t="s">
        <v>5306</v>
      </c>
      <c r="C1937" s="58" t="s">
        <v>5307</v>
      </c>
    </row>
  </sheetData>
  <phoneticPr fontId="12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26</vt:i4>
      </vt:variant>
    </vt:vector>
  </HeadingPairs>
  <TitlesOfParts>
    <vt:vector size="26" baseType="lpstr">
      <vt:lpstr>유의사항</vt:lpstr>
      <vt:lpstr>Main</vt:lpstr>
      <vt:lpstr>회사코드</vt:lpstr>
      <vt:lpstr>총괄</vt:lpstr>
      <vt:lpstr>재무비율 비교</vt:lpstr>
      <vt:lpstr>D210000</vt:lpstr>
      <vt:lpstr>D210005</vt:lpstr>
      <vt:lpstr>D220000</vt:lpstr>
      <vt:lpstr>D220005</vt:lpstr>
      <vt:lpstr>D310000</vt:lpstr>
      <vt:lpstr>D310005</vt:lpstr>
      <vt:lpstr>D320000</vt:lpstr>
      <vt:lpstr>D320005</vt:lpstr>
      <vt:lpstr>D410000</vt:lpstr>
      <vt:lpstr>D410005</vt:lpstr>
      <vt:lpstr>D420000</vt:lpstr>
      <vt:lpstr>D420005</vt:lpstr>
      <vt:lpstr>D431410</vt:lpstr>
      <vt:lpstr>D431415</vt:lpstr>
      <vt:lpstr>D431420</vt:lpstr>
      <vt:lpstr>D431425</vt:lpstr>
      <vt:lpstr>D432410</vt:lpstr>
      <vt:lpstr>D432415</vt:lpstr>
      <vt:lpstr>D432420</vt:lpstr>
      <vt:lpstr>D432425</vt:lpstr>
      <vt:lpstr>@참고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지석</cp:lastModifiedBy>
  <cp:lastPrinted>2016-06-10T05:47:24Z</cp:lastPrinted>
  <dcterms:created xsi:type="dcterms:W3CDTF">2014-07-22T14:21:59Z</dcterms:created>
  <dcterms:modified xsi:type="dcterms:W3CDTF">2021-01-16T15:24:23Z</dcterms:modified>
</cp:coreProperties>
</file>